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(S) SHARE\_project MTC\Research\RFP Template\Final Documents\"/>
    </mc:Choice>
  </mc:AlternateContent>
  <bookViews>
    <workbookView xWindow="0" yWindow="0" windowWidth="20460" windowHeight="7155" firstSheet="1" activeTab="1"/>
  </bookViews>
  <sheets>
    <sheet name="Staff Rates" sheetId="5" state="hidden" r:id="rId1"/>
    <sheet name="Summary" sheetId="2" r:id="rId2"/>
    <sheet name="Tuition" sheetId="3" state="hidden" r:id="rId3"/>
    <sheet name="BA Upload" sheetId="4" r:id="rId4"/>
  </sheets>
  <externalReferences>
    <externalReference r:id="rId5"/>
    <externalReference r:id="rId6"/>
  </externalReferences>
  <definedNames>
    <definedName name="_YR1">#REF!</definedName>
    <definedName name="_YR2">#REF!</definedName>
    <definedName name="_YR3">'[1]Form Page 4'!#REF!</definedName>
    <definedName name="_YR4">'[1]Form Page 4'!#REF!</definedName>
    <definedName name="_YR5">'[1]Form Page 4'!#REF!</definedName>
    <definedName name="bach">#REF!</definedName>
    <definedName name="fac">#REF!</definedName>
    <definedName name="grad">#REF!</definedName>
    <definedName name="GS">'[1]Form Page 4'!#REF!</definedName>
    <definedName name="hour">#REF!</definedName>
    <definedName name="HR">'[1]Form Page 4'!#REF!</definedName>
    <definedName name="merit">#REF!</definedName>
    <definedName name="PD">'[1]Form Page 4'!#REF!</definedName>
    <definedName name="post">#REF!</definedName>
    <definedName name="_xlnm.Print_Area" localSheetId="1">Summary!#REF!</definedName>
    <definedName name="_xlnm.Print_Area" localSheetId="2">Tuition!$A$1:$S$45</definedName>
    <definedName name="Print_Area_MI">#REF!</definedName>
    <definedName name="Print_Titles_MI">#REF!</definedName>
    <definedName name="PRSALARY" function="1" xlm="1">#REF!</definedName>
    <definedName name="ps">#REF!</definedName>
    <definedName name="ug">#REF!</definedName>
    <definedName name="years">'[2]Start here'!$I$10</definedName>
  </definedNames>
  <calcPr calcId="152511"/>
</workbook>
</file>

<file path=xl/calcChain.xml><?xml version="1.0" encoding="utf-8"?>
<calcChain xmlns="http://schemas.openxmlformats.org/spreadsheetml/2006/main">
  <c r="E38" i="5" l="1"/>
  <c r="F38" i="5" s="1"/>
  <c r="F42" i="5"/>
  <c r="E42" i="5"/>
  <c r="F20" i="5" l="1"/>
  <c r="E20" i="5"/>
  <c r="F6" i="5" l="1"/>
  <c r="E6" i="5"/>
  <c r="E57" i="5" l="1"/>
  <c r="F57" i="5" s="1"/>
  <c r="E56" i="5"/>
  <c r="F56" i="5" s="1"/>
  <c r="E55" i="5"/>
  <c r="F55" i="5" s="1"/>
  <c r="E54" i="5"/>
  <c r="F54" i="5" s="1"/>
  <c r="E53" i="5"/>
  <c r="F53" i="5" s="1"/>
  <c r="E52" i="5"/>
  <c r="F52" i="5" s="1"/>
  <c r="E51" i="5"/>
  <c r="F51" i="5" s="1"/>
  <c r="E50" i="5"/>
  <c r="F50" i="5" s="1"/>
  <c r="E49" i="5"/>
  <c r="F49" i="5" s="1"/>
  <c r="E48" i="5"/>
  <c r="F48" i="5" s="1"/>
  <c r="E47" i="5"/>
  <c r="F47" i="5" s="1"/>
  <c r="E46" i="5"/>
  <c r="F46" i="5" s="1"/>
  <c r="E45" i="5"/>
  <c r="F45" i="5" s="1"/>
  <c r="E44" i="5"/>
  <c r="F44" i="5" s="1"/>
  <c r="E43" i="5"/>
  <c r="F43" i="5" s="1"/>
  <c r="E41" i="5"/>
  <c r="F41" i="5" s="1"/>
  <c r="E40" i="5"/>
  <c r="F40" i="5" s="1"/>
  <c r="E39" i="5"/>
  <c r="F39" i="5" s="1"/>
  <c r="E37" i="5"/>
  <c r="F37" i="5" s="1"/>
  <c r="E36" i="5"/>
  <c r="F36" i="5" s="1"/>
  <c r="E35" i="5"/>
  <c r="F35" i="5" s="1"/>
  <c r="E34" i="5"/>
  <c r="F34" i="5" s="1"/>
  <c r="E33" i="5"/>
  <c r="F33" i="5" s="1"/>
  <c r="E32" i="5"/>
  <c r="F32" i="5" s="1"/>
  <c r="E31" i="5"/>
  <c r="F31" i="5" s="1"/>
  <c r="E30" i="5"/>
  <c r="F30" i="5" s="1"/>
  <c r="E29" i="5"/>
  <c r="F29" i="5" s="1"/>
  <c r="E28" i="5"/>
  <c r="F28" i="5" s="1"/>
  <c r="E27" i="5"/>
  <c r="F27" i="5" s="1"/>
  <c r="E26" i="5"/>
  <c r="F26" i="5" s="1"/>
  <c r="E25" i="5"/>
  <c r="F25" i="5" s="1"/>
  <c r="E24" i="5"/>
  <c r="F24" i="5" s="1"/>
  <c r="E23" i="5"/>
  <c r="F23" i="5" s="1"/>
  <c r="E22" i="5"/>
  <c r="F22" i="5" s="1"/>
  <c r="E21" i="5"/>
  <c r="F21" i="5" s="1"/>
  <c r="E19" i="5"/>
  <c r="F19" i="5" s="1"/>
  <c r="E18" i="5"/>
  <c r="F18" i="5" s="1"/>
  <c r="E17" i="5"/>
  <c r="F17" i="5" s="1"/>
  <c r="E16" i="5"/>
  <c r="F16" i="5" s="1"/>
  <c r="E15" i="5"/>
  <c r="F15" i="5" s="1"/>
  <c r="E14" i="5"/>
  <c r="F14" i="5" s="1"/>
  <c r="E13" i="5"/>
  <c r="F13" i="5" s="1"/>
  <c r="E12" i="5"/>
  <c r="F12" i="5" s="1"/>
  <c r="E11" i="5"/>
  <c r="F11" i="5" s="1"/>
  <c r="E10" i="5"/>
  <c r="F10" i="5" s="1"/>
  <c r="E9" i="5"/>
  <c r="F9" i="5" s="1"/>
  <c r="E8" i="5"/>
  <c r="F8" i="5" s="1"/>
  <c r="E7" i="5"/>
  <c r="F7" i="5" s="1"/>
  <c r="E5" i="5"/>
  <c r="F5" i="5" s="1"/>
  <c r="E4" i="5"/>
  <c r="F4" i="5" s="1"/>
  <c r="D3" i="5"/>
  <c r="E3" i="5" s="1"/>
  <c r="F3" i="5" s="1"/>
  <c r="R102" i="2" l="1"/>
  <c r="R98" i="2" l="1"/>
  <c r="T90" i="2" l="1"/>
  <c r="T91" i="2"/>
  <c r="R14" i="2" l="1"/>
  <c r="C24" i="4" l="1"/>
  <c r="C22" i="4"/>
  <c r="C21" i="4"/>
  <c r="C20" i="4"/>
  <c r="C17" i="4"/>
  <c r="C16" i="4"/>
  <c r="C14" i="4"/>
  <c r="C13" i="4"/>
  <c r="C12" i="4"/>
  <c r="C11" i="4"/>
  <c r="C10" i="4"/>
  <c r="C19" i="4"/>
  <c r="R36" i="2" l="1"/>
  <c r="R30" i="2"/>
  <c r="R31" i="2"/>
  <c r="R32" i="2"/>
  <c r="R29" i="2"/>
  <c r="R25" i="2"/>
  <c r="R26" i="2"/>
  <c r="R27" i="2"/>
  <c r="R24" i="2"/>
  <c r="R20" i="2"/>
  <c r="R21" i="2"/>
  <c r="R22" i="2"/>
  <c r="R19" i="2"/>
  <c r="R17" i="2"/>
  <c r="R15" i="2"/>
  <c r="R16" i="2"/>
  <c r="R44" i="2"/>
  <c r="B4" i="4" l="1"/>
  <c r="B3" i="4"/>
  <c r="B2" i="4"/>
  <c r="B1" i="4"/>
  <c r="T86" i="2" l="1"/>
  <c r="T87" i="2"/>
  <c r="T88" i="2"/>
  <c r="T89" i="2"/>
  <c r="T92" i="2"/>
  <c r="T93" i="2"/>
  <c r="T96" i="2"/>
  <c r="T98" i="2"/>
  <c r="T102" i="2"/>
  <c r="T97" i="2" l="1"/>
  <c r="T95" i="2"/>
  <c r="T94" i="2"/>
  <c r="S85" i="2"/>
  <c r="R85" i="2"/>
  <c r="Q85" i="2"/>
  <c r="P85" i="2"/>
  <c r="O85" i="2"/>
  <c r="N85" i="2"/>
  <c r="M85" i="2"/>
  <c r="L85" i="2"/>
  <c r="K85" i="2"/>
  <c r="J85" i="2"/>
  <c r="I85" i="2"/>
  <c r="H85" i="2"/>
  <c r="S83" i="2"/>
  <c r="T83" i="2" s="1"/>
  <c r="S82" i="2"/>
  <c r="T82" i="2" s="1"/>
  <c r="S81" i="2"/>
  <c r="T81" i="2" s="1"/>
  <c r="S80" i="2"/>
  <c r="T80" i="2" s="1"/>
  <c r="R79" i="2"/>
  <c r="Q79" i="2"/>
  <c r="P79" i="2"/>
  <c r="O79" i="2"/>
  <c r="N79" i="2"/>
  <c r="M79" i="2"/>
  <c r="L79" i="2"/>
  <c r="K79" i="2"/>
  <c r="J79" i="2"/>
  <c r="I79" i="2"/>
  <c r="H79" i="2"/>
  <c r="T77" i="2"/>
  <c r="T76" i="2"/>
  <c r="S75" i="2"/>
  <c r="R75" i="2"/>
  <c r="Q75" i="2"/>
  <c r="P75" i="2"/>
  <c r="O75" i="2"/>
  <c r="N75" i="2"/>
  <c r="M75" i="2"/>
  <c r="L75" i="2"/>
  <c r="K75" i="2"/>
  <c r="J75" i="2"/>
  <c r="I75" i="2"/>
  <c r="H75" i="2"/>
  <c r="T73" i="2"/>
  <c r="T72" i="2"/>
  <c r="S71" i="2"/>
  <c r="R71" i="2"/>
  <c r="Q71" i="2"/>
  <c r="P71" i="2"/>
  <c r="O71" i="2"/>
  <c r="N71" i="2"/>
  <c r="M71" i="2"/>
  <c r="L71" i="2"/>
  <c r="K71" i="2"/>
  <c r="J71" i="2"/>
  <c r="I71" i="2"/>
  <c r="H71" i="2"/>
  <c r="C66" i="2"/>
  <c r="C65" i="2"/>
  <c r="R64" i="2"/>
  <c r="T64" i="2" s="1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R51" i="2"/>
  <c r="T51" i="2" s="1"/>
  <c r="C51" i="2"/>
  <c r="C50" i="2"/>
  <c r="C49" i="2"/>
  <c r="C48" i="2"/>
  <c r="C47" i="2"/>
  <c r="C46" i="2"/>
  <c r="C45" i="2"/>
  <c r="C44" i="2"/>
  <c r="C43" i="2"/>
  <c r="S42" i="2"/>
  <c r="Q42" i="2"/>
  <c r="P42" i="2"/>
  <c r="O42" i="2"/>
  <c r="N42" i="2"/>
  <c r="M42" i="2"/>
  <c r="L42" i="2"/>
  <c r="K42" i="2"/>
  <c r="J42" i="2"/>
  <c r="I42" i="2"/>
  <c r="H42" i="2"/>
  <c r="R38" i="2"/>
  <c r="T38" i="2" s="1"/>
  <c r="R37" i="2"/>
  <c r="T36" i="2"/>
  <c r="S35" i="2"/>
  <c r="Q35" i="2"/>
  <c r="P35" i="2"/>
  <c r="O35" i="2"/>
  <c r="N35" i="2"/>
  <c r="M35" i="2"/>
  <c r="L35" i="2"/>
  <c r="K35" i="2"/>
  <c r="J35" i="2"/>
  <c r="I35" i="2"/>
  <c r="H35" i="2"/>
  <c r="R62" i="2"/>
  <c r="T62" i="2" s="1"/>
  <c r="T31" i="2"/>
  <c r="T30" i="2"/>
  <c r="R59" i="2"/>
  <c r="T59" i="2" s="1"/>
  <c r="T27" i="2"/>
  <c r="T26" i="2"/>
  <c r="T25" i="2"/>
  <c r="R54" i="2"/>
  <c r="T54" i="2" s="1"/>
  <c r="R52" i="2"/>
  <c r="T52" i="2" s="1"/>
  <c r="T21" i="2"/>
  <c r="T20" i="2"/>
  <c r="R49" i="2"/>
  <c r="T49" i="2" s="1"/>
  <c r="R47" i="2"/>
  <c r="T47" i="2" s="1"/>
  <c r="R46" i="2"/>
  <c r="T46" i="2" s="1"/>
  <c r="T15" i="2"/>
  <c r="T14" i="2"/>
  <c r="S12" i="2"/>
  <c r="Q12" i="2"/>
  <c r="P12" i="2"/>
  <c r="O12" i="2"/>
  <c r="N12" i="2"/>
  <c r="M12" i="2"/>
  <c r="L12" i="2"/>
  <c r="K12" i="2"/>
  <c r="J12" i="2"/>
  <c r="I12" i="2"/>
  <c r="H12" i="2"/>
  <c r="L40" i="2" l="1"/>
  <c r="L69" i="2" s="1"/>
  <c r="L107" i="2" s="1"/>
  <c r="L109" i="2" s="1"/>
  <c r="L113" i="2" s="1"/>
  <c r="L112" i="2" s="1"/>
  <c r="L116" i="2" s="1"/>
  <c r="T75" i="2"/>
  <c r="N40" i="2"/>
  <c r="N69" i="2" s="1"/>
  <c r="N107" i="2" s="1"/>
  <c r="N109" i="2" s="1"/>
  <c r="N113" i="2" s="1"/>
  <c r="N112" i="2" s="1"/>
  <c r="S40" i="2"/>
  <c r="S69" i="2" s="1"/>
  <c r="J40" i="2"/>
  <c r="J69" i="2" s="1"/>
  <c r="J107" i="2" s="1"/>
  <c r="J109" i="2" s="1"/>
  <c r="J113" i="2" s="1"/>
  <c r="J112" i="2" s="1"/>
  <c r="K40" i="2"/>
  <c r="K69" i="2" s="1"/>
  <c r="K107" i="2" s="1"/>
  <c r="K109" i="2" s="1"/>
  <c r="K113" i="2" s="1"/>
  <c r="K112" i="2" s="1"/>
  <c r="K116" i="2" s="1"/>
  <c r="T85" i="2"/>
  <c r="T32" i="2"/>
  <c r="R57" i="2"/>
  <c r="T57" i="2" s="1"/>
  <c r="T22" i="2"/>
  <c r="T17" i="2"/>
  <c r="H40" i="2"/>
  <c r="H69" i="2" s="1"/>
  <c r="H107" i="2" s="1"/>
  <c r="H109" i="2" s="1"/>
  <c r="H113" i="2" s="1"/>
  <c r="H112" i="2" s="1"/>
  <c r="H116" i="2" s="1"/>
  <c r="P40" i="2"/>
  <c r="P69" i="2" s="1"/>
  <c r="P107" i="2" s="1"/>
  <c r="P109" i="2" s="1"/>
  <c r="P113" i="2" s="1"/>
  <c r="P112" i="2" s="1"/>
  <c r="P116" i="2" s="1"/>
  <c r="I40" i="2"/>
  <c r="I69" i="2" s="1"/>
  <c r="I107" i="2" s="1"/>
  <c r="I109" i="2" s="1"/>
  <c r="I113" i="2" s="1"/>
  <c r="I112" i="2" s="1"/>
  <c r="I116" i="2" s="1"/>
  <c r="Q40" i="2"/>
  <c r="Q69" i="2" s="1"/>
  <c r="Q107" i="2" s="1"/>
  <c r="Q109" i="2" s="1"/>
  <c r="Q113" i="2" s="1"/>
  <c r="Q112" i="2" s="1"/>
  <c r="O40" i="2"/>
  <c r="O69" i="2" s="1"/>
  <c r="O107" i="2" s="1"/>
  <c r="O109" i="2" s="1"/>
  <c r="O113" i="2" s="1"/>
  <c r="O112" i="2" s="1"/>
  <c r="O116" i="2" s="1"/>
  <c r="R60" i="2"/>
  <c r="T60" i="2" s="1"/>
  <c r="R50" i="2"/>
  <c r="T50" i="2" s="1"/>
  <c r="R56" i="2"/>
  <c r="T56" i="2" s="1"/>
  <c r="M40" i="2"/>
  <c r="M69" i="2" s="1"/>
  <c r="M107" i="2" s="1"/>
  <c r="M109" i="2" s="1"/>
  <c r="M113" i="2" s="1"/>
  <c r="M112" i="2" s="1"/>
  <c r="M116" i="2" s="1"/>
  <c r="T71" i="2"/>
  <c r="T44" i="2"/>
  <c r="R65" i="2"/>
  <c r="T65" i="2" s="1"/>
  <c r="T37" i="2"/>
  <c r="R35" i="2"/>
  <c r="T35" i="2" s="1"/>
  <c r="T19" i="2"/>
  <c r="T29" i="2"/>
  <c r="R66" i="2"/>
  <c r="T66" i="2" s="1"/>
  <c r="S79" i="2"/>
  <c r="T79" i="2" s="1"/>
  <c r="R45" i="2"/>
  <c r="T45" i="2" s="1"/>
  <c r="R55" i="2"/>
  <c r="T55" i="2" s="1"/>
  <c r="R61" i="2"/>
  <c r="T61" i="2" s="1"/>
  <c r="R12" i="2"/>
  <c r="T16" i="2"/>
  <c r="T24" i="2"/>
  <c r="S107" i="2" l="1"/>
  <c r="S109" i="2" s="1"/>
  <c r="S113" i="2" s="1"/>
  <c r="S112" i="2" s="1"/>
  <c r="S116" i="2" s="1"/>
  <c r="N116" i="2"/>
  <c r="J116" i="2"/>
  <c r="Q116" i="2"/>
  <c r="R42" i="2"/>
  <c r="C9" i="4" s="1"/>
  <c r="R40" i="2"/>
  <c r="C8" i="4" s="1"/>
  <c r="T12" i="2"/>
  <c r="T42" i="2" l="1"/>
  <c r="R69" i="2"/>
  <c r="T40" i="2"/>
  <c r="T69" i="2" l="1"/>
  <c r="R107" i="2"/>
  <c r="T107" i="2" l="1"/>
  <c r="R109" i="2"/>
  <c r="R113" i="2" l="1"/>
  <c r="C26" i="4" s="1"/>
  <c r="T109" i="2"/>
  <c r="R112" i="2" l="1"/>
  <c r="T113" i="2"/>
  <c r="T112" i="2" l="1"/>
  <c r="R116" i="2"/>
  <c r="T116" i="2" s="1"/>
  <c r="K28" i="3" l="1"/>
  <c r="K27" i="3"/>
  <c r="K26" i="3" s="1"/>
  <c r="K8" i="3"/>
  <c r="K7" i="3"/>
  <c r="K6" i="3" s="1"/>
  <c r="Q103" i="3" l="1"/>
  <c r="Q104" i="3" s="1"/>
  <c r="Q105" i="3" s="1"/>
  <c r="Q106" i="3" s="1"/>
  <c r="Q107" i="3" s="1"/>
  <c r="Q108" i="3" s="1"/>
  <c r="O103" i="3"/>
  <c r="O104" i="3" s="1"/>
  <c r="O105" i="3" s="1"/>
  <c r="O106" i="3" s="1"/>
  <c r="O107" i="3" s="1"/>
  <c r="O108" i="3" s="1"/>
  <c r="M103" i="3"/>
  <c r="K103" i="3"/>
  <c r="Q95" i="3"/>
  <c r="Q96" i="3" s="1"/>
  <c r="Q97" i="3" s="1"/>
  <c r="Q98" i="3" s="1"/>
  <c r="Q99" i="3" s="1"/>
  <c r="O95" i="3"/>
  <c r="O96" i="3" s="1"/>
  <c r="O97" i="3" s="1"/>
  <c r="O98" i="3" s="1"/>
  <c r="O99" i="3" s="1"/>
  <c r="M95" i="3"/>
  <c r="M96" i="3" s="1"/>
  <c r="M97" i="3" s="1"/>
  <c r="M98" i="3" s="1"/>
  <c r="M99" i="3" s="1"/>
  <c r="K95" i="3"/>
  <c r="K96" i="3" s="1"/>
  <c r="K97" i="3" s="1"/>
  <c r="K98" i="3" s="1"/>
  <c r="K99" i="3" s="1"/>
  <c r="Q85" i="3"/>
  <c r="Q86" i="3" s="1"/>
  <c r="Q87" i="3" s="1"/>
  <c r="Q88" i="3" s="1"/>
  <c r="Q89" i="3" s="1"/>
  <c r="Q90" i="3" s="1"/>
  <c r="O85" i="3"/>
  <c r="O86" i="3" s="1"/>
  <c r="O87" i="3" s="1"/>
  <c r="O88" i="3" s="1"/>
  <c r="O89" i="3" s="1"/>
  <c r="O90" i="3" s="1"/>
  <c r="M85" i="3"/>
  <c r="M86" i="3" s="1"/>
  <c r="M87" i="3" s="1"/>
  <c r="M88" i="3" s="1"/>
  <c r="M89" i="3" s="1"/>
  <c r="M90" i="3" s="1"/>
  <c r="K85" i="3"/>
  <c r="K86" i="3" s="1"/>
  <c r="K87" i="3" s="1"/>
  <c r="K88" i="3" s="1"/>
  <c r="K89" i="3" s="1"/>
  <c r="K90" i="3" s="1"/>
  <c r="Q73" i="3"/>
  <c r="Q74" i="3" s="1"/>
  <c r="Q75" i="3" s="1"/>
  <c r="Q76" i="3" s="1"/>
  <c r="Q77" i="3" s="1"/>
  <c r="Q78" i="3" s="1"/>
  <c r="O73" i="3"/>
  <c r="O74" i="3" s="1"/>
  <c r="O75" i="3" s="1"/>
  <c r="O76" i="3" s="1"/>
  <c r="O77" i="3" s="1"/>
  <c r="O78" i="3" s="1"/>
  <c r="M73" i="3"/>
  <c r="K73" i="3"/>
  <c r="Q65" i="3"/>
  <c r="Q66" i="3" s="1"/>
  <c r="Q67" i="3" s="1"/>
  <c r="Q68" i="3" s="1"/>
  <c r="Q69" i="3" s="1"/>
  <c r="O65" i="3"/>
  <c r="O66" i="3" s="1"/>
  <c r="O67" i="3" s="1"/>
  <c r="O68" i="3" s="1"/>
  <c r="O69" i="3" s="1"/>
  <c r="M65" i="3"/>
  <c r="M66" i="3" s="1"/>
  <c r="M67" i="3" s="1"/>
  <c r="M68" i="3" s="1"/>
  <c r="M69" i="3" s="1"/>
  <c r="K65" i="3"/>
  <c r="K66" i="3" s="1"/>
  <c r="K67" i="3" s="1"/>
  <c r="K68" i="3" s="1"/>
  <c r="K69" i="3" s="1"/>
  <c r="Q55" i="3"/>
  <c r="Q56" i="3" s="1"/>
  <c r="Q57" i="3" s="1"/>
  <c r="Q58" i="3" s="1"/>
  <c r="Q59" i="3" s="1"/>
  <c r="Q60" i="3" s="1"/>
  <c r="O55" i="3"/>
  <c r="O56" i="3" s="1"/>
  <c r="O57" i="3" s="1"/>
  <c r="O58" i="3" s="1"/>
  <c r="O59" i="3" s="1"/>
  <c r="O60" i="3" s="1"/>
  <c r="M55" i="3"/>
  <c r="M56" i="3" s="1"/>
  <c r="M57" i="3" s="1"/>
  <c r="M58" i="3" s="1"/>
  <c r="M59" i="3" s="1"/>
  <c r="M60" i="3" s="1"/>
  <c r="K55" i="3"/>
  <c r="K56" i="3" s="1"/>
  <c r="K57" i="3" s="1"/>
  <c r="K58" i="3" s="1"/>
  <c r="K59" i="3" s="1"/>
  <c r="K60" i="3" s="1"/>
  <c r="M74" i="3" l="1"/>
  <c r="M75" i="3" s="1"/>
  <c r="M76" i="3" s="1"/>
  <c r="M77" i="3" s="1"/>
  <c r="M78" i="3" s="1"/>
  <c r="M7" i="3"/>
  <c r="M104" i="3"/>
  <c r="M105" i="3" s="1"/>
  <c r="M106" i="3" s="1"/>
  <c r="M107" i="3" s="1"/>
  <c r="M108" i="3" s="1"/>
  <c r="M27" i="3"/>
  <c r="K74" i="3"/>
  <c r="K75" i="3" s="1"/>
  <c r="K76" i="3" s="1"/>
  <c r="K77" i="3" s="1"/>
  <c r="K78" i="3" s="1"/>
  <c r="M8" i="3"/>
  <c r="K104" i="3"/>
  <c r="K105" i="3" s="1"/>
  <c r="K106" i="3" s="1"/>
  <c r="K107" i="3" s="1"/>
  <c r="K108" i="3" s="1"/>
  <c r="M28" i="3"/>
  <c r="O27" i="3" l="1"/>
  <c r="O28" i="3"/>
  <c r="O8" i="3"/>
  <c r="O7" i="3"/>
  <c r="O6" i="3" s="1"/>
  <c r="Q7" i="3"/>
  <c r="Q6" i="3" s="1"/>
  <c r="O26" i="3"/>
  <c r="M26" i="3"/>
  <c r="M6" i="3"/>
  <c r="Q28" i="3"/>
  <c r="S7" i="3"/>
  <c r="Q27" i="3"/>
  <c r="Q8" i="3"/>
  <c r="Q26" i="3" l="1"/>
  <c r="S6" i="3"/>
  <c r="S28" i="3"/>
  <c r="S27" i="3"/>
  <c r="S8" i="3"/>
  <c r="S26" i="3" l="1"/>
  <c r="C25" i="4" l="1"/>
  <c r="C27" i="4" l="1"/>
</calcChain>
</file>

<file path=xl/comments1.xml><?xml version="1.0" encoding="utf-8"?>
<comments xmlns="http://schemas.openxmlformats.org/spreadsheetml/2006/main">
  <authors>
    <author>Sara Jane Oftelie</author>
  </authors>
  <commentList>
    <comment ref="H96" authorId="0" shapeId="0">
      <text>
        <r>
          <rPr>
            <b/>
            <sz val="9"/>
            <color indexed="81"/>
            <rFont val="Tahoma"/>
            <family val="2"/>
          </rPr>
          <t>Please DO NOT type in this space - it will autofill from the TUITION sheet after you make your selections.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96" authorId="0" shapeId="0">
      <text>
        <r>
          <rPr>
            <b/>
            <sz val="9"/>
            <color indexed="81"/>
            <rFont val="Tahoma"/>
            <family val="2"/>
          </rPr>
          <t>Please DO NOT type in this space - it will autofill from the TUITION sheet after you make your selections.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</rPr>
          <t>Please DO NOT type in this space - it will autofill from the TUITION sheet after you make your selections.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96" authorId="0" shapeId="0">
      <text>
        <r>
          <rPr>
            <b/>
            <sz val="9"/>
            <color indexed="81"/>
            <rFont val="Tahoma"/>
            <family val="2"/>
          </rPr>
          <t>Please DO NOT type in this space - it will autofill from the TUITION sheet after you make your selections.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96" authorId="0" shapeId="0">
      <text>
        <r>
          <rPr>
            <b/>
            <sz val="9"/>
            <color indexed="81"/>
            <rFont val="Tahoma"/>
            <family val="2"/>
          </rPr>
          <t>Please DO NOT type in this space - it will autofill from the TUITION sheet after you make your selections.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97" authorId="0" shapeId="0">
      <text>
        <r>
          <rPr>
            <b/>
            <sz val="9"/>
            <color indexed="81"/>
            <rFont val="Tahoma"/>
            <family val="2"/>
          </rPr>
          <t>Please DO NOT type in this space - it will autofill from the TUITION sheet after you make your selections.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97" authorId="0" shapeId="0">
      <text>
        <r>
          <rPr>
            <b/>
            <sz val="9"/>
            <color indexed="81"/>
            <rFont val="Tahoma"/>
            <family val="2"/>
          </rPr>
          <t>Please DO NOT type in this space - it will autofill from the TUITION sheet after you make your selections.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</rPr>
          <t>Please DO NOT type in this space - it will autofill from the TUITION sheet after you make your selections.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97" authorId="0" shapeId="0">
      <text>
        <r>
          <rPr>
            <b/>
            <sz val="9"/>
            <color indexed="81"/>
            <rFont val="Tahoma"/>
            <family val="2"/>
          </rPr>
          <t>Please DO NOT type in this space - it will autofill from the TUITION sheet after you make your selections.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97" authorId="0" shapeId="0">
      <text>
        <r>
          <rPr>
            <b/>
            <sz val="9"/>
            <color indexed="81"/>
            <rFont val="Tahoma"/>
            <family val="2"/>
          </rPr>
          <t>Please DO NOT type in this space - it will autofill from the TUITION sheet after you make your selections.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<sst xmlns="http://schemas.openxmlformats.org/spreadsheetml/2006/main" count="445" uniqueCount="251">
  <si>
    <t>Program Sponsor</t>
  </si>
  <si>
    <t>Title</t>
  </si>
  <si>
    <t>PI</t>
  </si>
  <si>
    <t>Period of Performance</t>
  </si>
  <si>
    <t>Deadline</t>
  </si>
  <si>
    <t>Year 1</t>
  </si>
  <si>
    <t>Salary</t>
  </si>
  <si>
    <t>Summer</t>
  </si>
  <si>
    <t>A</t>
  </si>
  <si>
    <t>Monthly</t>
  </si>
  <si>
    <t>Months</t>
  </si>
  <si>
    <t>Calendar</t>
  </si>
  <si>
    <t>Number of</t>
  </si>
  <si>
    <t>B</t>
  </si>
  <si>
    <t>Hourly Undergraduate student</t>
  </si>
  <si>
    <t>Subtotal: Salaries and Wages</t>
  </si>
  <si>
    <t>C</t>
  </si>
  <si>
    <t>Fringe Benefits</t>
  </si>
  <si>
    <t>Rate</t>
  </si>
  <si>
    <t>Subtotal: Salaries, Wages, and Benefits</t>
  </si>
  <si>
    <t>D</t>
  </si>
  <si>
    <t>E</t>
  </si>
  <si>
    <t>Travel</t>
  </si>
  <si>
    <t>1. Domestic Travel</t>
  </si>
  <si>
    <t>2. Foreign Travel</t>
  </si>
  <si>
    <t>F</t>
  </si>
  <si>
    <t>Participant Support Cost</t>
  </si>
  <si>
    <t>1. Stipend</t>
  </si>
  <si>
    <t>2. Travel</t>
  </si>
  <si>
    <t>G</t>
  </si>
  <si>
    <t>Other Direct Costs</t>
  </si>
  <si>
    <t>Subtotal: Total Direct Costs (TDC)</t>
  </si>
  <si>
    <t>[ MTDC = TDC - Tuition - Equipment - Participant Support Cost ]</t>
  </si>
  <si>
    <t>H</t>
  </si>
  <si>
    <t>Indirect Costs</t>
  </si>
  <si>
    <t>IDC on MTDC</t>
  </si>
  <si>
    <t>[ IDC = MTDC * Indirect Rate ]</t>
  </si>
  <si>
    <t>I</t>
  </si>
  <si>
    <t>Spring</t>
  </si>
  <si>
    <t>Subtotal: Modified Total Direct Costs</t>
  </si>
  <si>
    <t>Year 2</t>
  </si>
  <si>
    <t>Materials and Supplies</t>
  </si>
  <si>
    <t>Computing support</t>
  </si>
  <si>
    <t>Year 5</t>
  </si>
  <si>
    <t>Year 4</t>
  </si>
  <si>
    <t>Year 3</t>
  </si>
  <si>
    <r>
      <t xml:space="preserve">Graduate Student Tuition </t>
    </r>
    <r>
      <rPr>
        <b/>
        <sz val="12"/>
        <rFont val="Arial"/>
        <family val="2"/>
      </rPr>
      <t>(NON-ENGINEERING)</t>
    </r>
  </si>
  <si>
    <t>select 1/4-time/1/2-time &gt; &gt;</t>
  </si>
  <si>
    <t>1/2-time</t>
  </si>
  <si>
    <t>Graduate Student Tuition</t>
  </si>
  <si>
    <t>Maximum</t>
  </si>
  <si>
    <t>Minimum</t>
  </si>
  <si>
    <t>NON-Engineering Students Only</t>
  </si>
  <si>
    <r>
      <t>Masters Students</t>
    </r>
    <r>
      <rPr>
        <sz val="10"/>
        <rFont val="Arial"/>
        <family val="2"/>
      </rPr>
      <t xml:space="preserve"> (enter no. of students per term)</t>
    </r>
  </si>
  <si>
    <t>Summer 2012</t>
  </si>
  <si>
    <t>Summer 2013</t>
  </si>
  <si>
    <t>Summer 2014</t>
  </si>
  <si>
    <t>Summer 2015</t>
  </si>
  <si>
    <t>Fall</t>
  </si>
  <si>
    <t>Fall 2012</t>
  </si>
  <si>
    <t>Fall 2013</t>
  </si>
  <si>
    <t>Fall 2014</t>
  </si>
  <si>
    <t>Fall 2015</t>
  </si>
  <si>
    <t>Spring 2012</t>
  </si>
  <si>
    <t>Spring 2013</t>
  </si>
  <si>
    <t>Spring 2014</t>
  </si>
  <si>
    <t>Spring 2015</t>
  </si>
  <si>
    <r>
      <t>PhD Students</t>
    </r>
    <r>
      <rPr>
        <sz val="10"/>
        <rFont val="Arial"/>
        <family val="2"/>
      </rPr>
      <t xml:space="preserve"> (enter no. of students per term)</t>
    </r>
  </si>
  <si>
    <r>
      <t xml:space="preserve">Graduate Student Tuition </t>
    </r>
    <r>
      <rPr>
        <b/>
        <sz val="12"/>
        <rFont val="Arial"/>
        <family val="2"/>
      </rPr>
      <t>(ENGINEERING)</t>
    </r>
  </si>
  <si>
    <t>Engineering Students Only</t>
  </si>
  <si>
    <t>Funds Requested</t>
  </si>
  <si>
    <t>Masters - Min</t>
  </si>
  <si>
    <t>Masters-Max</t>
  </si>
  <si>
    <t>PhD - Min</t>
  </si>
  <si>
    <t>PhD - Max</t>
  </si>
  <si>
    <t>esc. Rate</t>
  </si>
  <si>
    <t>1/4-time</t>
  </si>
  <si>
    <t>Fall 2016</t>
  </si>
  <si>
    <t>Fall 2017</t>
  </si>
  <si>
    <t>Fall 2018</t>
  </si>
  <si>
    <t>Spring 2016</t>
  </si>
  <si>
    <t>Spring 2017</t>
  </si>
  <si>
    <t>Spring 2018</t>
  </si>
  <si>
    <t>Summer 2016</t>
  </si>
  <si>
    <t>Summer 2017</t>
  </si>
  <si>
    <t>Summer 2018</t>
  </si>
  <si>
    <t>Engineering students</t>
  </si>
  <si>
    <t>3. Subsistence</t>
  </si>
  <si>
    <t>4. Other</t>
  </si>
  <si>
    <r>
      <t xml:space="preserve">Equipment </t>
    </r>
    <r>
      <rPr>
        <b/>
        <sz val="10"/>
        <rFont val="Arial"/>
        <family val="2"/>
      </rPr>
      <t xml:space="preserve">(List Item and $ amount for each item </t>
    </r>
    <r>
      <rPr>
        <b/>
        <u/>
        <sz val="10"/>
        <rFont val="Arial"/>
        <family val="2"/>
      </rPr>
      <t>&gt;</t>
    </r>
    <r>
      <rPr>
        <b/>
        <sz val="10"/>
        <rFont val="Arial"/>
        <family val="2"/>
      </rPr>
      <t xml:space="preserve"> $5k)</t>
    </r>
  </si>
  <si>
    <t>See notes below</t>
  </si>
  <si>
    <t xml:space="preserve">           Tuition Costs</t>
  </si>
  <si>
    <t>Project Budget Worksheet - Iowa State University of Science and Technology</t>
  </si>
  <si>
    <t>NOT subject to IDC (Amount over $25,000)</t>
  </si>
  <si>
    <t>Subcontractor2 - Subject to IDC (first $25,000)</t>
  </si>
  <si>
    <t>Subcontractor1 - Subject to IDC (first $25,000)</t>
  </si>
  <si>
    <t>persons</t>
  </si>
  <si>
    <t>P&amp;S</t>
  </si>
  <si>
    <t>Federal Funds Requested</t>
  </si>
  <si>
    <t>Cost-Shared  Matching Funds</t>
  </si>
  <si>
    <t>Total Cost-Shared Matching Funds</t>
  </si>
  <si>
    <t>Total Project Funds</t>
  </si>
  <si>
    <t>Total Direct + Indirect Costs</t>
  </si>
  <si>
    <t>Sponsor:</t>
  </si>
  <si>
    <t xml:space="preserve">Title: </t>
  </si>
  <si>
    <t xml:space="preserve">PI Name: </t>
  </si>
  <si>
    <t>Period of Performance:</t>
  </si>
  <si>
    <t>Account Number:</t>
  </si>
  <si>
    <t>Budget Categories</t>
  </si>
  <si>
    <t>Budget Code</t>
  </si>
  <si>
    <t>Amount</t>
  </si>
  <si>
    <t>Salary/Hourly</t>
  </si>
  <si>
    <t>0108</t>
  </si>
  <si>
    <t>Payroll Benefits</t>
  </si>
  <si>
    <t>0130</t>
  </si>
  <si>
    <t>Equipment</t>
  </si>
  <si>
    <t>0710</t>
  </si>
  <si>
    <t>Travel Domestic</t>
  </si>
  <si>
    <t>0215</t>
  </si>
  <si>
    <t>Travel Foreign</t>
  </si>
  <si>
    <t>0216</t>
  </si>
  <si>
    <t>Student Tuition</t>
  </si>
  <si>
    <t>0610</t>
  </si>
  <si>
    <t>Supplies</t>
  </si>
  <si>
    <t>0410</t>
  </si>
  <si>
    <t>Subcontracts</t>
  </si>
  <si>
    <t>Subject to IDC</t>
  </si>
  <si>
    <t>0396</t>
  </si>
  <si>
    <t>Not Subejct to IDC</t>
  </si>
  <si>
    <t>0376</t>
  </si>
  <si>
    <t>Telecom Charges</t>
  </si>
  <si>
    <t>0340</t>
  </si>
  <si>
    <t>Computer Usage</t>
  </si>
  <si>
    <t>0353</t>
  </si>
  <si>
    <t>Printing/Copying</t>
  </si>
  <si>
    <t>0373</t>
  </si>
  <si>
    <t>Services/Honoraria</t>
  </si>
  <si>
    <t>0302</t>
  </si>
  <si>
    <t>Postage</t>
  </si>
  <si>
    <t>0379</t>
  </si>
  <si>
    <t xml:space="preserve">Other  </t>
  </si>
  <si>
    <t>0630</t>
  </si>
  <si>
    <t>Total Direct Costs</t>
  </si>
  <si>
    <t>0642</t>
  </si>
  <si>
    <t>Total Costs</t>
  </si>
  <si>
    <t>Fall 2019</t>
  </si>
  <si>
    <t>Spring 2019</t>
  </si>
  <si>
    <t>Summer 2019</t>
  </si>
  <si>
    <t>Sponsored Funds</t>
  </si>
  <si>
    <t>Personnel</t>
  </si>
  <si>
    <t>Faculty</t>
  </si>
  <si>
    <t>Merit</t>
  </si>
  <si>
    <t>Post Docs</t>
  </si>
  <si>
    <t xml:space="preserve">Calendar Months </t>
  </si>
  <si>
    <t>Students</t>
  </si>
  <si>
    <t>or Hourly</t>
  </si>
  <si>
    <t>or # of hours</t>
  </si>
  <si>
    <t>Research Asst</t>
  </si>
  <si>
    <t>Hourly (Non-student)</t>
  </si>
  <si>
    <t>Printing cost</t>
  </si>
  <si>
    <t>Communication Services (pubs cost center)</t>
  </si>
  <si>
    <t>Laboratory Costs</t>
  </si>
  <si>
    <t xml:space="preserve">Tuition </t>
  </si>
  <si>
    <t>Tuition</t>
  </si>
  <si>
    <t>Other (meeting costs, room rentals, etc.)</t>
  </si>
  <si>
    <r>
      <rPr>
        <u/>
        <sz val="10"/>
        <rFont val="Arial"/>
        <family val="2"/>
      </rPr>
      <t>NOTES</t>
    </r>
    <r>
      <rPr>
        <sz val="10"/>
        <rFont val="Arial"/>
        <family val="2"/>
      </rPr>
      <t>:</t>
    </r>
  </si>
  <si>
    <t>3.  ISU charges indirect on all direct costs shown above except equipment items over $5000, sponsor paid tuition, and each subcontract's cost over $25,000.  Indirect rate is determined by a negotiated agreement between Iowa State University and the Department of Health and Human Services. ISU's policies that pertain to research or intellectual property can be found at http://www.vpresearch.iastate.edu/policy/.  Basic institutional information can be found at http://www.ospa.iastate.edu/proposal/institutional.html.</t>
  </si>
  <si>
    <t xml:space="preserve">monthly </t>
  </si>
  <si>
    <t>at 174 hr/mo (req'd for fed budgets)</t>
  </si>
  <si>
    <t>Name</t>
  </si>
  <si>
    <t>Base</t>
  </si>
  <si>
    <t>Hrly rates</t>
  </si>
  <si>
    <t>Bektas, Fatih</t>
  </si>
  <si>
    <t>A-base</t>
  </si>
  <si>
    <t>Ashlock, Jeremy</t>
  </si>
  <si>
    <t>B-base</t>
  </si>
  <si>
    <t>Carriquiry, Alicia</t>
  </si>
  <si>
    <t>Ceylan, Halil</t>
  </si>
  <si>
    <t>Dong, Jing</t>
  </si>
  <si>
    <t>Fanous, Fouad</t>
  </si>
  <si>
    <t>Gransberg, Doug</t>
  </si>
  <si>
    <t>Hallmark, Shauna</t>
  </si>
  <si>
    <t>Jahren, Charles</t>
  </si>
  <si>
    <t>Jeong, Hyung Seok (David)</t>
  </si>
  <si>
    <t xml:space="preserve"> </t>
  </si>
  <si>
    <t>Rouse, Matt</t>
  </si>
  <si>
    <t>Schaefer, Vern</t>
  </si>
  <si>
    <t>Shane, Jennifer</t>
  </si>
  <si>
    <t>Sritharan, Sri</t>
  </si>
  <si>
    <t>Turkan, Yelda</t>
  </si>
  <si>
    <t>Vennapusa, Pavana</t>
  </si>
  <si>
    <t>Wang, Kejin</t>
  </si>
  <si>
    <t>White, David</t>
  </si>
  <si>
    <t>Williams, Chris</t>
  </si>
  <si>
    <t>Deng, Yaohua (Jimmy)</t>
  </si>
  <si>
    <t>D-base</t>
  </si>
  <si>
    <t>Kokemiller, Paula</t>
  </si>
  <si>
    <t>E-base</t>
  </si>
  <si>
    <t>Wagner, Denise</t>
  </si>
  <si>
    <t>Albrecht, Chris</t>
  </si>
  <si>
    <t>P-base</t>
  </si>
  <si>
    <t>Aldemir-Bektas, Basak</t>
  </si>
  <si>
    <t>Burdine, Nick</t>
  </si>
  <si>
    <t>Cackler, Tom</t>
  </si>
  <si>
    <t>Dahlberg, Justin</t>
  </si>
  <si>
    <t>Farlow, Katy</t>
  </si>
  <si>
    <t>Gieseman, Dan</t>
  </si>
  <si>
    <t>Hans, Zach</t>
  </si>
  <si>
    <t>Hawkins, Neal</t>
  </si>
  <si>
    <t>Hosteng, Travis</t>
  </si>
  <si>
    <t>Knapp, Keith</t>
  </si>
  <si>
    <t>Knickerbocker, Skylar</t>
  </si>
  <si>
    <t>Meddles, Alexandria</t>
  </si>
  <si>
    <t>Morris, Tim</t>
  </si>
  <si>
    <t>Musal, James</t>
  </si>
  <si>
    <t>Nlenanya Inya</t>
  </si>
  <si>
    <t>Phares, Brent</t>
  </si>
  <si>
    <t xml:space="preserve">Prochnow, Sharon </t>
  </si>
  <si>
    <t>Richards, Beth</t>
  </si>
  <si>
    <t>Serra Jennifer</t>
  </si>
  <si>
    <t>Smadi, Omar</t>
  </si>
  <si>
    <t>Steffes, Robert</t>
  </si>
  <si>
    <t>Taylor, Peter</t>
  </si>
  <si>
    <t>Thomas, Judy</t>
  </si>
  <si>
    <t>Wiegand, Paul</t>
  </si>
  <si>
    <t>Wood, Doug</t>
  </si>
  <si>
    <t xml:space="preserve">% of </t>
  </si>
  <si>
    <t>Effort</t>
  </si>
  <si>
    <t xml:space="preserve">     Communication Services (pubs cost center)</t>
  </si>
  <si>
    <t xml:space="preserve">     Lab Testing/Services</t>
  </si>
  <si>
    <t xml:space="preserve">Services/Honoraria </t>
  </si>
  <si>
    <t xml:space="preserve">     PSA Honoraria</t>
  </si>
  <si>
    <t xml:space="preserve">     Meeting room/costs</t>
  </si>
  <si>
    <t xml:space="preserve">     Postage</t>
  </si>
  <si>
    <t xml:space="preserve">     Msc</t>
  </si>
  <si>
    <t>FY2015</t>
  </si>
  <si>
    <t>Christiansen, Leighton</t>
  </si>
  <si>
    <t>Struble, Steve</t>
  </si>
  <si>
    <t>Wang, Xuhao</t>
  </si>
  <si>
    <t>Babcock, Anthony</t>
  </si>
  <si>
    <t>Greimann, Lowell</t>
  </si>
  <si>
    <t>K-base</t>
  </si>
  <si>
    <t>Post Doc</t>
  </si>
  <si>
    <r>
      <t xml:space="preserve">2.  Fringe rates for FY2015 are </t>
    </r>
    <r>
      <rPr>
        <i/>
        <sz val="10"/>
        <rFont val="Arial"/>
        <family val="2"/>
      </rPr>
      <t>estimated at average rates for budgeting purposes</t>
    </r>
    <r>
      <rPr>
        <sz val="10"/>
        <rFont val="Arial"/>
        <family val="2"/>
      </rPr>
      <t xml:space="preserve"> as follows: Faculty - 31.5%; P&amp;S - 37.8%; Postdocs-33.0%; Merit - 51%; Research Assistants - 13%; non student hourly - 12%; registered students hourly - 4.6%.  Actual fringe costs will be charged.</t>
    </r>
  </si>
  <si>
    <t>Sharma, Anuj</t>
  </si>
  <si>
    <t>Savolainen, Peter</t>
  </si>
  <si>
    <t xml:space="preserve">1.  ISU employees are salaried. This estimate is based on the FY2015 base rates. Annual increases (July 1) and/or midyear promotions or rate changes may affect the level of effort possible under this budget. </t>
  </si>
  <si>
    <t>http://www.ospa.iastate.edu/proposal/preparation/tuition/</t>
  </si>
  <si>
    <t xml:space="preserve">4.Tuition and fees for the graduate student assistant(s) are included in the budget. ISU mandates a policy of charging 50% in-state tuition for M.S. candidates and 100% in-state tuition for PhD candidates.  </t>
  </si>
  <si>
    <t>Updated 09/12/2014</t>
  </si>
  <si>
    <t>Eff. 7/1/2014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</si>
</sst>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&quot;$&quot;#,##0.00"/>
    <numFmt numFmtId="166" formatCode="0.0%"/>
    <numFmt numFmtId="167" formatCode="mm/dd/yy;@"/>
    <numFmt numFmtId="168" formatCode="&quot;$&quot;#,##0\ ;\(&quot;$&quot;#,##0\)"/>
    <numFmt numFmtId="169" formatCode="_(&quot;$&quot;* #,##0_);_(&quot;$&quot;* \(#,##0\);_(&quot;$&quot;* &quot;-&quot;??_);_(@_)"/>
    <numFmt numFmtId="170" formatCode="_(* #,##0_);_(* \(#,##0\);_(* &quot;-&quot;??_);_(@_)"/>
  </numFmts>
  <fonts count="6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8.5"/>
      <color indexed="12"/>
      <name val="Arial"/>
      <family val="2"/>
    </font>
    <font>
      <sz val="8"/>
      <name val="Arial"/>
      <family val="2"/>
    </font>
    <font>
      <sz val="8"/>
      <color indexed="10"/>
      <name val="Arial"/>
      <family val="2"/>
    </font>
    <font>
      <b/>
      <sz val="12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2"/>
      <name val="Arial"/>
      <family val="2"/>
    </font>
    <font>
      <u/>
      <sz val="10"/>
      <color indexed="12"/>
      <name val="Arial"/>
      <family val="2"/>
    </font>
    <font>
      <sz val="8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22"/>
      <name val="Arial"/>
      <family val="2"/>
    </font>
    <font>
      <b/>
      <u/>
      <sz val="10"/>
      <name val="Arial"/>
      <family val="2"/>
    </font>
    <font>
      <b/>
      <sz val="10"/>
      <color rgb="FFFF0000"/>
      <name val="Arial"/>
      <family val="2"/>
    </font>
    <font>
      <sz val="12"/>
      <color indexed="10"/>
      <name val="Arial"/>
      <family val="2"/>
    </font>
    <font>
      <b/>
      <sz val="12"/>
      <color indexed="10"/>
      <name val="Arial"/>
      <family val="2"/>
    </font>
    <font>
      <sz val="9"/>
      <name val="Arial"/>
      <family val="2"/>
    </font>
    <font>
      <b/>
      <sz val="8"/>
      <color theme="1"/>
      <name val="Arial"/>
      <family val="2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name val="Arial"/>
      <family val="2"/>
    </font>
    <font>
      <u/>
      <sz val="10"/>
      <name val="Arial"/>
      <family val="2"/>
    </font>
    <font>
      <i/>
      <sz val="10"/>
      <name val="Arial"/>
      <family val="2"/>
    </font>
    <font>
      <u/>
      <sz val="9"/>
      <name val="Arial"/>
      <family val="2"/>
    </font>
    <font>
      <b/>
      <sz val="9"/>
      <name val="Arial"/>
      <family val="2"/>
    </font>
    <font>
      <b/>
      <sz val="18"/>
      <name val="Arial"/>
      <family val="2"/>
    </font>
    <font>
      <sz val="14"/>
      <color indexed="12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1"/>
      <name val="Arial"/>
      <family val="2"/>
    </font>
    <font>
      <b/>
      <i/>
      <sz val="12"/>
      <name val="Arial"/>
      <family val="2"/>
    </font>
    <font>
      <sz val="12"/>
      <color indexed="12"/>
      <name val="Arial"/>
      <family val="2"/>
    </font>
    <font>
      <strike/>
      <sz val="9"/>
      <name val="Arial"/>
      <family val="2"/>
    </font>
    <font>
      <strike/>
      <sz val="10"/>
      <name val="Arial"/>
      <family val="2"/>
    </font>
    <font>
      <strike/>
      <sz val="12"/>
      <name val="Arial"/>
      <family val="2"/>
    </font>
    <font>
      <b/>
      <sz val="11"/>
      <name val="Arial"/>
      <family val="2"/>
    </font>
    <font>
      <i/>
      <sz val="9"/>
      <name val="Arial"/>
      <family val="2"/>
    </font>
    <font>
      <i/>
      <sz val="12"/>
      <name val="Arial"/>
      <family val="2"/>
    </font>
    <font>
      <sz val="9"/>
      <color rgb="FFFF0000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26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70">
    <xf numFmtId="0" fontId="0" fillId="0" borderId="0"/>
    <xf numFmtId="43" fontId="13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6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0" fillId="0" borderId="0" applyFont="0" applyFill="0" applyBorder="0" applyAlignment="0" applyProtection="0"/>
    <xf numFmtId="168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2" fontId="16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15" fillId="0" borderId="0" applyNumberFormat="0" applyFill="0" applyBorder="0" applyAlignment="0" applyProtection="0">
      <alignment vertical="top"/>
      <protection locked="0"/>
    </xf>
    <xf numFmtId="0" fontId="10" fillId="0" borderId="0"/>
    <xf numFmtId="9" fontId="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1" applyNumberFormat="0" applyFont="0" applyFill="0" applyAlignment="0" applyProtection="0"/>
    <xf numFmtId="0" fontId="26" fillId="0" borderId="0" applyNumberFormat="0" applyFill="0" applyBorder="0" applyAlignment="0" applyProtection="0"/>
    <xf numFmtId="0" fontId="29" fillId="0" borderId="15" applyNumberFormat="0" applyFill="0" applyAlignment="0" applyProtection="0"/>
    <xf numFmtId="0" fontId="29" fillId="0" borderId="0" applyNumberFormat="0" applyFill="0" applyBorder="0" applyAlignment="0" applyProtection="0"/>
    <xf numFmtId="0" fontId="30" fillId="10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3" fillId="13" borderId="16" applyNumberFormat="0" applyAlignment="0" applyProtection="0"/>
    <xf numFmtId="0" fontId="34" fillId="14" borderId="17" applyNumberFormat="0" applyAlignment="0" applyProtection="0"/>
    <xf numFmtId="0" fontId="35" fillId="14" borderId="16" applyNumberFormat="0" applyAlignment="0" applyProtection="0"/>
    <xf numFmtId="0" fontId="36" fillId="0" borderId="18" applyNumberFormat="0" applyFill="0" applyAlignment="0" applyProtection="0"/>
    <xf numFmtId="0" fontId="37" fillId="15" borderId="19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1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41" fillId="24" borderId="0" applyNumberFormat="0" applyBorder="0" applyAlignment="0" applyProtection="0"/>
    <xf numFmtId="0" fontId="41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41" fillId="28" borderId="0" applyNumberFormat="0" applyBorder="0" applyAlignment="0" applyProtection="0"/>
    <xf numFmtId="0" fontId="41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41" fillId="32" borderId="0" applyNumberFormat="0" applyBorder="0" applyAlignment="0" applyProtection="0"/>
    <xf numFmtId="0" fontId="41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41" fillId="36" borderId="0" applyNumberFormat="0" applyBorder="0" applyAlignment="0" applyProtection="0"/>
    <xf numFmtId="0" fontId="41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41" fillId="40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0" fontId="27" fillId="0" borderId="13" applyNumberFormat="0" applyFill="0" applyAlignment="0" applyProtection="0"/>
    <xf numFmtId="0" fontId="28" fillId="0" borderId="14" applyNumberFormat="0" applyFill="0" applyAlignment="0" applyProtection="0"/>
    <xf numFmtId="0" fontId="2" fillId="16" borderId="20" applyNumberFormat="0" applyFont="0" applyAlignment="0" applyProtection="0"/>
    <xf numFmtId="9" fontId="2" fillId="0" borderId="0" applyFont="0" applyFill="0" applyBorder="0" applyAlignment="0" applyProtection="0"/>
    <xf numFmtId="0" fontId="40" fillId="0" borderId="21" applyNumberFormat="0" applyFill="0" applyAlignment="0" applyProtection="0"/>
  </cellStyleXfs>
  <cellXfs count="318">
    <xf numFmtId="0" fontId="0" fillId="0" borderId="0" xfId="0"/>
    <xf numFmtId="0" fontId="6" fillId="0" borderId="0" xfId="0" applyFont="1"/>
    <xf numFmtId="0" fontId="9" fillId="2" borderId="0" xfId="0" applyFont="1" applyFill="1" applyAlignment="1"/>
    <xf numFmtId="0" fontId="9" fillId="2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165" fontId="6" fillId="0" borderId="0" xfId="0" applyNumberFormat="1" applyFont="1"/>
    <xf numFmtId="0" fontId="3" fillId="2" borderId="0" xfId="0" applyFont="1" applyFill="1" applyAlignment="1">
      <alignment horizontal="left"/>
    </xf>
    <xf numFmtId="0" fontId="11" fillId="2" borderId="0" xfId="0" applyFont="1" applyFill="1" applyAlignment="1">
      <alignment horizontal="right"/>
    </xf>
    <xf numFmtId="0" fontId="8" fillId="2" borderId="0" xfId="0" applyFont="1" applyFill="1" applyAlignment="1">
      <alignment horizontal="right"/>
    </xf>
    <xf numFmtId="0" fontId="6" fillId="0" borderId="0" xfId="0" applyFont="1" applyFill="1"/>
    <xf numFmtId="0" fontId="0" fillId="0" borderId="0" xfId="0" applyFill="1"/>
    <xf numFmtId="0" fontId="14" fillId="2" borderId="0" xfId="0" applyFont="1" applyFill="1" applyAlignment="1">
      <alignment horizontal="left"/>
    </xf>
    <xf numFmtId="0" fontId="14" fillId="2" borderId="0" xfId="0" applyFont="1" applyFill="1"/>
    <xf numFmtId="0" fontId="13" fillId="2" borderId="0" xfId="0" applyFont="1" applyFill="1" applyAlignment="1">
      <alignment wrapText="1"/>
    </xf>
    <xf numFmtId="0" fontId="8" fillId="2" borderId="0" xfId="0" applyFont="1" applyFill="1"/>
    <xf numFmtId="164" fontId="14" fillId="2" borderId="0" xfId="0" applyNumberFormat="1" applyFont="1" applyFill="1"/>
    <xf numFmtId="0" fontId="13" fillId="2" borderId="0" xfId="0" applyFont="1" applyFill="1"/>
    <xf numFmtId="0" fontId="11" fillId="2" borderId="0" xfId="0" applyFont="1" applyFill="1"/>
    <xf numFmtId="0" fontId="10" fillId="2" borderId="0" xfId="0" applyFont="1" applyFill="1"/>
    <xf numFmtId="0" fontId="0" fillId="2" borderId="0" xfId="0" applyFill="1"/>
    <xf numFmtId="0" fontId="10" fillId="2" borderId="0" xfId="0" applyFont="1" applyFill="1" applyAlignment="1">
      <alignment horizontal="right"/>
    </xf>
    <xf numFmtId="0" fontId="8" fillId="2" borderId="0" xfId="0" applyFont="1" applyFill="1" applyAlignment="1">
      <alignment horizontal="left"/>
    </xf>
    <xf numFmtId="0" fontId="0" fillId="2" borderId="0" xfId="0" applyFill="1" applyAlignment="1"/>
    <xf numFmtId="0" fontId="14" fillId="3" borderId="0" xfId="0" applyFont="1" applyFill="1" applyAlignment="1">
      <alignment horizontal="left"/>
    </xf>
    <xf numFmtId="0" fontId="14" fillId="3" borderId="0" xfId="0" applyFont="1" applyFill="1"/>
    <xf numFmtId="0" fontId="13" fillId="3" borderId="0" xfId="0" applyFont="1" applyFill="1" applyAlignment="1">
      <alignment horizontal="left"/>
    </xf>
    <xf numFmtId="0" fontId="13" fillId="3" borderId="0" xfId="0" applyFont="1" applyFill="1"/>
    <xf numFmtId="0" fontId="10" fillId="3" borderId="0" xfId="0" applyFont="1" applyFill="1" applyAlignment="1">
      <alignment horizontal="left"/>
    </xf>
    <xf numFmtId="0" fontId="10" fillId="3" borderId="0" xfId="0" applyFont="1" applyFill="1"/>
    <xf numFmtId="0" fontId="10" fillId="2" borderId="0" xfId="0" applyFont="1" applyFill="1" applyAlignment="1">
      <alignment horizontal="center" vertical="center" textRotation="15"/>
    </xf>
    <xf numFmtId="0" fontId="10" fillId="2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right"/>
    </xf>
    <xf numFmtId="0" fontId="14" fillId="2" borderId="0" xfId="0" applyFont="1" applyFill="1" applyProtection="1"/>
    <xf numFmtId="164" fontId="14" fillId="2" borderId="0" xfId="0" applyNumberFormat="1" applyFont="1" applyFill="1" applyProtection="1"/>
    <xf numFmtId="0" fontId="10" fillId="4" borderId="2" xfId="0" applyFont="1" applyFill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 wrapText="1"/>
      <protection locked="0"/>
    </xf>
    <xf numFmtId="0" fontId="10" fillId="4" borderId="2" xfId="0" applyFont="1" applyFill="1" applyBorder="1" applyAlignment="1" applyProtection="1">
      <alignment horizontal="center" vertical="center" wrapText="1"/>
      <protection locked="0"/>
    </xf>
    <xf numFmtId="0" fontId="10" fillId="4" borderId="0" xfId="0" applyFont="1" applyFill="1" applyAlignment="1" applyProtection="1">
      <alignment horizontal="right"/>
      <protection locked="0"/>
    </xf>
    <xf numFmtId="0" fontId="10" fillId="2" borderId="0" xfId="0" applyFont="1" applyFill="1" applyProtection="1"/>
    <xf numFmtId="0" fontId="13" fillId="2" borderId="0" xfId="0" applyFont="1" applyFill="1" applyProtection="1"/>
    <xf numFmtId="0" fontId="10" fillId="2" borderId="0" xfId="0" applyFont="1" applyFill="1" applyAlignment="1">
      <alignment textRotation="90" wrapText="1"/>
    </xf>
    <xf numFmtId="0" fontId="10" fillId="4" borderId="3" xfId="0" applyFont="1" applyFill="1" applyBorder="1" applyAlignment="1" applyProtection="1">
      <alignment horizontal="center" vertical="center"/>
      <protection locked="0"/>
    </xf>
    <xf numFmtId="0" fontId="10" fillId="4" borderId="3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Border="1" applyAlignment="1" applyProtection="1">
      <alignment horizontal="center" vertical="center" wrapText="1"/>
      <protection locked="0"/>
    </xf>
    <xf numFmtId="0" fontId="10" fillId="2" borderId="0" xfId="0" applyFont="1" applyFill="1" applyAlignment="1" applyProtection="1">
      <alignment horizontal="right"/>
    </xf>
    <xf numFmtId="0" fontId="13" fillId="3" borderId="0" xfId="0" applyFont="1" applyFill="1" applyAlignment="1" applyProtection="1">
      <alignment horizontal="left"/>
    </xf>
    <xf numFmtId="0" fontId="13" fillId="3" borderId="0" xfId="0" applyFont="1" applyFill="1" applyProtection="1"/>
    <xf numFmtId="0" fontId="10" fillId="3" borderId="0" xfId="0" applyFont="1" applyFill="1" applyAlignment="1" applyProtection="1">
      <alignment horizontal="center" vertical="center"/>
    </xf>
    <xf numFmtId="0" fontId="10" fillId="3" borderId="0" xfId="0" applyFont="1" applyFill="1" applyAlignment="1" applyProtection="1">
      <alignment horizontal="left"/>
    </xf>
    <xf numFmtId="0" fontId="10" fillId="3" borderId="0" xfId="0" applyFont="1" applyFill="1" applyProtection="1"/>
    <xf numFmtId="0" fontId="10" fillId="3" borderId="0" xfId="0" applyFont="1" applyFill="1" applyAlignment="1" applyProtection="1">
      <alignment horizontal="right"/>
    </xf>
    <xf numFmtId="0" fontId="10" fillId="2" borderId="0" xfId="0" applyFont="1" applyFill="1" applyAlignment="1" applyProtection="1">
      <alignment horizontal="center" vertical="center" textRotation="15"/>
    </xf>
    <xf numFmtId="0" fontId="10" fillId="2" borderId="0" xfId="0" applyFont="1" applyFill="1" applyAlignment="1" applyProtection="1">
      <alignment horizontal="center" vertical="center"/>
    </xf>
    <xf numFmtId="0" fontId="14" fillId="3" borderId="0" xfId="0" applyFont="1" applyFill="1" applyBorder="1" applyAlignment="1" applyProtection="1">
      <alignment horizontal="left"/>
    </xf>
    <xf numFmtId="0" fontId="14" fillId="3" borderId="0" xfId="0" applyFont="1" applyFill="1" applyAlignment="1" applyProtection="1">
      <alignment horizontal="left"/>
    </xf>
    <xf numFmtId="0" fontId="14" fillId="3" borderId="0" xfId="0" applyFont="1" applyFill="1" applyProtection="1"/>
    <xf numFmtId="0" fontId="10" fillId="2" borderId="0" xfId="0" applyFont="1" applyFill="1" applyBorder="1" applyAlignment="1" applyProtection="1">
      <alignment horizontal="center" vertical="center"/>
    </xf>
    <xf numFmtId="0" fontId="10" fillId="2" borderId="0" xfId="0" applyFont="1" applyFill="1" applyBorder="1" applyAlignment="1" applyProtection="1">
      <alignment horizontal="center" vertical="center" wrapText="1"/>
    </xf>
    <xf numFmtId="0" fontId="0" fillId="2" borderId="0" xfId="0" applyFill="1" applyAlignment="1">
      <alignment horizontal="left"/>
    </xf>
    <xf numFmtId="0" fontId="14" fillId="4" borderId="0" xfId="0" applyNumberFormat="1" applyFont="1" applyFill="1" applyAlignment="1" applyProtection="1">
      <alignment horizontal="left"/>
      <protection locked="0"/>
    </xf>
    <xf numFmtId="0" fontId="14" fillId="2" borderId="0" xfId="0" applyFont="1" applyFill="1" applyAlignment="1">
      <alignment vertical="top"/>
    </xf>
    <xf numFmtId="0" fontId="9" fillId="2" borderId="0" xfId="13" applyFont="1" applyFill="1"/>
    <xf numFmtId="164" fontId="9" fillId="2" borderId="0" xfId="13" applyNumberFormat="1" applyFont="1" applyFill="1"/>
    <xf numFmtId="0" fontId="9" fillId="2" borderId="0" xfId="13" applyFont="1" applyFill="1" applyAlignment="1">
      <alignment horizontal="right"/>
    </xf>
    <xf numFmtId="0" fontId="9" fillId="2" borderId="0" xfId="0" applyFont="1" applyFill="1"/>
    <xf numFmtId="164" fontId="9" fillId="2" borderId="0" xfId="0" applyNumberFormat="1" applyFont="1" applyFill="1"/>
    <xf numFmtId="0" fontId="3" fillId="2" borderId="0" xfId="13" applyFont="1" applyFill="1" applyAlignment="1">
      <alignment horizontal="right"/>
    </xf>
    <xf numFmtId="3" fontId="3" fillId="0" borderId="0" xfId="16" applyNumberFormat="1" applyFont="1"/>
    <xf numFmtId="0" fontId="3" fillId="2" borderId="0" xfId="13" applyFont="1" applyFill="1"/>
    <xf numFmtId="0" fontId="3" fillId="2" borderId="0" xfId="0" applyFont="1" applyFill="1" applyAlignment="1">
      <alignment horizontal="center"/>
    </xf>
    <xf numFmtId="3" fontId="3" fillId="2" borderId="0" xfId="16" applyNumberFormat="1" applyFont="1" applyFill="1"/>
    <xf numFmtId="3" fontId="3" fillId="2" borderId="0" xfId="13" applyNumberFormat="1" applyFont="1" applyFill="1"/>
    <xf numFmtId="0" fontId="9" fillId="0" borderId="0" xfId="0" applyFont="1"/>
    <xf numFmtId="0" fontId="21" fillId="0" borderId="0" xfId="0" applyFont="1"/>
    <xf numFmtId="0" fontId="6" fillId="0" borderId="0" xfId="0" applyFont="1" applyAlignment="1">
      <alignment horizontal="right"/>
    </xf>
    <xf numFmtId="0" fontId="9" fillId="8" borderId="0" xfId="0" applyFont="1" applyFill="1" applyAlignment="1" applyProtection="1">
      <alignment horizontal="center"/>
    </xf>
    <xf numFmtId="164" fontId="8" fillId="8" borderId="2" xfId="0" applyNumberFormat="1" applyFont="1" applyFill="1" applyBorder="1" applyAlignment="1" applyProtection="1">
      <alignment horizontal="right"/>
    </xf>
    <xf numFmtId="164" fontId="3" fillId="8" borderId="2" xfId="0" applyNumberFormat="1" applyFont="1" applyFill="1" applyBorder="1" applyAlignment="1" applyProtection="1">
      <alignment horizontal="right"/>
    </xf>
    <xf numFmtId="164" fontId="3" fillId="7" borderId="0" xfId="0" applyNumberFormat="1" applyFont="1" applyFill="1" applyAlignment="1" applyProtection="1">
      <alignment horizontal="right"/>
    </xf>
    <xf numFmtId="165" fontId="6" fillId="0" borderId="0" xfId="0" applyNumberFormat="1" applyFont="1" applyFill="1"/>
    <xf numFmtId="164" fontId="3" fillId="8" borderId="2" xfId="0" applyNumberFormat="1" applyFont="1" applyFill="1" applyBorder="1" applyAlignment="1" applyProtection="1">
      <alignment horizontal="right"/>
      <protection locked="0"/>
    </xf>
    <xf numFmtId="164" fontId="3" fillId="8" borderId="5" xfId="0" applyNumberFormat="1" applyFont="1" applyFill="1" applyBorder="1" applyAlignment="1" applyProtection="1">
      <alignment horizontal="right"/>
      <protection locked="0"/>
    </xf>
    <xf numFmtId="0" fontId="3" fillId="2" borderId="0" xfId="0" applyFont="1" applyFill="1" applyProtection="1">
      <protection locked="0"/>
    </xf>
    <xf numFmtId="0" fontId="23" fillId="8" borderId="2" xfId="0" applyFont="1" applyFill="1" applyBorder="1" applyAlignment="1" applyProtection="1">
      <alignment horizontal="center" wrapText="1"/>
      <protection locked="0"/>
    </xf>
    <xf numFmtId="0" fontId="9" fillId="7" borderId="0" xfId="0" applyFont="1" applyFill="1" applyAlignment="1" applyProtection="1">
      <alignment horizontal="center"/>
      <protection locked="0"/>
    </xf>
    <xf numFmtId="0" fontId="9" fillId="8" borderId="0" xfId="0" applyFont="1" applyFill="1" applyAlignment="1" applyProtection="1">
      <alignment horizontal="center"/>
      <protection locked="0"/>
    </xf>
    <xf numFmtId="164" fontId="8" fillId="7" borderId="2" xfId="0" applyNumberFormat="1" applyFont="1" applyFill="1" applyBorder="1" applyAlignment="1" applyProtection="1">
      <alignment horizontal="right"/>
      <protection locked="0"/>
    </xf>
    <xf numFmtId="164" fontId="8" fillId="8" borderId="2" xfId="0" applyNumberFormat="1" applyFont="1" applyFill="1" applyBorder="1" applyAlignment="1" applyProtection="1">
      <alignment horizontal="right"/>
      <protection locked="0"/>
    </xf>
    <xf numFmtId="164" fontId="8" fillId="8" borderId="5" xfId="0" applyNumberFormat="1" applyFont="1" applyFill="1" applyBorder="1" applyAlignment="1" applyProtection="1">
      <alignment horizontal="right"/>
      <protection locked="0"/>
    </xf>
    <xf numFmtId="164" fontId="8" fillId="7" borderId="5" xfId="0" applyNumberFormat="1" applyFont="1" applyFill="1" applyBorder="1" applyAlignment="1" applyProtection="1">
      <alignment horizontal="right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3" fillId="7" borderId="0" xfId="0" applyNumberFormat="1" applyFont="1" applyFill="1" applyAlignment="1" applyProtection="1">
      <alignment horizontal="center"/>
      <protection locked="0"/>
    </xf>
    <xf numFmtId="164" fontId="3" fillId="7" borderId="0" xfId="0" applyNumberFormat="1" applyFont="1" applyFill="1" applyAlignment="1" applyProtection="1">
      <alignment horizontal="right"/>
      <protection locked="0"/>
    </xf>
    <xf numFmtId="164" fontId="11" fillId="8" borderId="2" xfId="0" applyNumberFormat="1" applyFont="1" applyFill="1" applyBorder="1" applyAlignment="1" applyProtection="1">
      <alignment horizontal="right"/>
      <protection locked="0"/>
    </xf>
    <xf numFmtId="0" fontId="3" fillId="0" borderId="0" xfId="0" applyFont="1" applyFill="1" applyProtection="1">
      <protection locked="0"/>
    </xf>
    <xf numFmtId="0" fontId="3" fillId="0" borderId="0" xfId="0" applyFont="1" applyFill="1" applyAlignment="1" applyProtection="1">
      <alignment horizontal="right"/>
      <protection locked="0"/>
    </xf>
    <xf numFmtId="164" fontId="3" fillId="0" borderId="0" xfId="0" applyNumberFormat="1" applyFont="1" applyFill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12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25" fillId="0" borderId="0" xfId="0" applyFont="1" applyFill="1" applyBorder="1" applyAlignment="1" applyProtection="1">
      <alignment horizontal="left"/>
      <protection locked="0"/>
    </xf>
    <xf numFmtId="2" fontId="3" fillId="0" borderId="0" xfId="0" applyNumberFormat="1" applyFont="1" applyFill="1" applyAlignment="1" applyProtection="1">
      <alignment horizontal="right"/>
      <protection locked="0"/>
    </xf>
    <xf numFmtId="164" fontId="3" fillId="0" borderId="2" xfId="0" applyNumberFormat="1" applyFont="1" applyFill="1" applyBorder="1" applyAlignment="1" applyProtection="1">
      <alignment horizontal="right"/>
      <protection locked="0"/>
    </xf>
    <xf numFmtId="164" fontId="3" fillId="0" borderId="5" xfId="0" applyNumberFormat="1" applyFont="1" applyFill="1" applyBorder="1" applyAlignment="1" applyProtection="1">
      <alignment horizontal="right"/>
      <protection locked="0"/>
    </xf>
    <xf numFmtId="164" fontId="3" fillId="0" borderId="2" xfId="0" applyNumberFormat="1" applyFont="1" applyFill="1" applyBorder="1" applyAlignment="1" applyProtection="1">
      <alignment horizontal="right"/>
    </xf>
    <xf numFmtId="0" fontId="23" fillId="0" borderId="2" xfId="0" applyFont="1" applyFill="1" applyBorder="1" applyAlignment="1" applyProtection="1">
      <alignment horizontal="center" wrapText="1"/>
      <protection locked="0"/>
    </xf>
    <xf numFmtId="0" fontId="3" fillId="0" borderId="0" xfId="0" applyFont="1" applyFill="1" applyAlignment="1" applyProtection="1">
      <alignment horizontal="left"/>
      <protection locked="0"/>
    </xf>
    <xf numFmtId="166" fontId="3" fillId="0" borderId="0" xfId="14" applyNumberFormat="1" applyFont="1" applyFill="1" applyProtection="1">
      <protection locked="0"/>
    </xf>
    <xf numFmtId="0" fontId="11" fillId="0" borderId="0" xfId="0" applyFont="1" applyFill="1" applyAlignment="1" applyProtection="1">
      <alignment horizontal="left"/>
      <protection locked="0"/>
    </xf>
    <xf numFmtId="164" fontId="11" fillId="0" borderId="2" xfId="0" applyNumberFormat="1" applyFont="1" applyFill="1" applyBorder="1" applyAlignment="1" applyProtection="1">
      <alignment horizontal="right"/>
      <protection locked="0"/>
    </xf>
    <xf numFmtId="0" fontId="11" fillId="0" borderId="0" xfId="0" applyFont="1" applyFill="1" applyAlignment="1" applyProtection="1">
      <protection locked="0"/>
    </xf>
    <xf numFmtId="0" fontId="0" fillId="0" borderId="0" xfId="0" applyFont="1" applyFill="1" applyAlignment="1" applyProtection="1">
      <alignment horizontal="left"/>
      <protection locked="0"/>
    </xf>
    <xf numFmtId="0" fontId="3" fillId="0" borderId="0" xfId="0" applyFont="1" applyFill="1" applyAlignment="1" applyProtection="1">
      <protection locked="0"/>
    </xf>
    <xf numFmtId="0" fontId="12" fillId="0" borderId="0" xfId="0" applyFont="1" applyFill="1" applyAlignment="1" applyProtection="1">
      <alignment horizontal="left"/>
      <protection locked="0"/>
    </xf>
    <xf numFmtId="2" fontId="20" fillId="0" borderId="0" xfId="0" applyNumberFormat="1" applyFont="1" applyFill="1" applyAlignment="1" applyProtection="1">
      <protection locked="0"/>
    </xf>
    <xf numFmtId="0" fontId="20" fillId="0" borderId="0" xfId="0" applyFont="1" applyFill="1" applyAlignment="1" applyProtection="1">
      <alignment horizontal="left"/>
      <protection locked="0"/>
    </xf>
    <xf numFmtId="0" fontId="20" fillId="0" borderId="4" xfId="0" applyFont="1" applyFill="1" applyBorder="1" applyAlignment="1" applyProtection="1">
      <alignment horizontal="left"/>
      <protection locked="0"/>
    </xf>
    <xf numFmtId="165" fontId="3" fillId="0" borderId="0" xfId="0" applyNumberFormat="1" applyFont="1" applyFill="1" applyProtection="1">
      <protection locked="0"/>
    </xf>
    <xf numFmtId="164" fontId="3" fillId="0" borderId="5" xfId="0" applyNumberFormat="1" applyFont="1" applyFill="1" applyBorder="1" applyAlignment="1" applyProtection="1">
      <alignment horizontal="right"/>
    </xf>
    <xf numFmtId="164" fontId="8" fillId="8" borderId="6" xfId="0" applyNumberFormat="1" applyFont="1" applyFill="1" applyBorder="1" applyAlignment="1" applyProtection="1">
      <alignment horizontal="right"/>
      <protection locked="0"/>
    </xf>
    <xf numFmtId="164" fontId="8" fillId="7" borderId="6" xfId="0" applyNumberFormat="1" applyFont="1" applyFill="1" applyBorder="1" applyAlignment="1" applyProtection="1">
      <alignment horizontal="right"/>
      <protection locked="0"/>
    </xf>
    <xf numFmtId="164" fontId="8" fillId="0" borderId="5" xfId="0" applyNumberFormat="1" applyFont="1" applyFill="1" applyBorder="1" applyAlignment="1" applyProtection="1">
      <alignment horizontal="right"/>
      <protection locked="0"/>
    </xf>
    <xf numFmtId="164" fontId="8" fillId="0" borderId="2" xfId="0" applyNumberFormat="1" applyFont="1" applyFill="1" applyBorder="1" applyAlignment="1" applyProtection="1">
      <alignment horizontal="right"/>
      <protection locked="0"/>
    </xf>
    <xf numFmtId="164" fontId="8" fillId="0" borderId="6" xfId="0" applyNumberFormat="1" applyFont="1" applyFill="1" applyBorder="1" applyAlignment="1" applyProtection="1">
      <alignment horizontal="right"/>
      <protection locked="0"/>
    </xf>
    <xf numFmtId="164" fontId="8" fillId="0" borderId="2" xfId="0" applyNumberFormat="1" applyFont="1" applyFill="1" applyBorder="1" applyAlignment="1" applyProtection="1">
      <alignment horizontal="right"/>
    </xf>
    <xf numFmtId="164" fontId="8" fillId="0" borderId="6" xfId="0" applyNumberFormat="1" applyFont="1" applyFill="1" applyBorder="1" applyAlignment="1" applyProtection="1">
      <alignment horizontal="right"/>
    </xf>
    <xf numFmtId="164" fontId="8" fillId="0" borderId="7" xfId="0" applyNumberFormat="1" applyFont="1" applyFill="1" applyBorder="1" applyAlignment="1" applyProtection="1">
      <alignment horizontal="right"/>
    </xf>
    <xf numFmtId="0" fontId="2" fillId="0" borderId="0" xfId="64" applyAlignment="1" applyProtection="1">
      <alignment horizontal="right"/>
      <protection locked="0"/>
    </xf>
    <xf numFmtId="0" fontId="2" fillId="0" borderId="0" xfId="64" applyProtection="1">
      <protection locked="0"/>
    </xf>
    <xf numFmtId="14" fontId="2" fillId="0" borderId="0" xfId="64" applyNumberFormat="1" applyProtection="1">
      <protection locked="0"/>
    </xf>
    <xf numFmtId="0" fontId="2" fillId="0" borderId="0" xfId="64" applyFont="1" applyAlignment="1" applyProtection="1">
      <alignment horizontal="right"/>
      <protection locked="0"/>
    </xf>
    <xf numFmtId="0" fontId="40" fillId="0" borderId="0" xfId="64" applyFont="1" applyAlignment="1" applyProtection="1">
      <alignment horizontal="center"/>
    </xf>
    <xf numFmtId="49" fontId="40" fillId="0" borderId="0" xfId="64" applyNumberFormat="1" applyFont="1" applyAlignment="1" applyProtection="1">
      <alignment horizontal="center"/>
    </xf>
    <xf numFmtId="0" fontId="2" fillId="0" borderId="0" xfId="64" applyProtection="1"/>
    <xf numFmtId="49" fontId="2" fillId="0" borderId="0" xfId="64" applyNumberFormat="1" applyAlignment="1" applyProtection="1">
      <alignment horizontal="center"/>
    </xf>
    <xf numFmtId="37" fontId="2" fillId="0" borderId="0" xfId="64" applyNumberFormat="1" applyProtection="1"/>
    <xf numFmtId="49" fontId="2" fillId="41" borderId="0" xfId="64" applyNumberFormat="1" applyFill="1" applyAlignment="1" applyProtection="1">
      <alignment horizontal="center"/>
    </xf>
    <xf numFmtId="0" fontId="2" fillId="0" borderId="0" xfId="64" applyAlignment="1" applyProtection="1">
      <alignment horizontal="left" indent="1"/>
    </xf>
    <xf numFmtId="37" fontId="2" fillId="0" borderId="22" xfId="64" applyNumberFormat="1" applyBorder="1" applyProtection="1"/>
    <xf numFmtId="37" fontId="2" fillId="0" borderId="0" xfId="64" applyNumberFormat="1" applyFill="1" applyBorder="1" applyProtection="1"/>
    <xf numFmtId="37" fontId="2" fillId="0" borderId="23" xfId="64" applyNumberFormat="1" applyBorder="1" applyProtection="1"/>
    <xf numFmtId="0" fontId="1" fillId="9" borderId="0" xfId="64" applyFont="1" applyFill="1" applyProtection="1">
      <protection locked="0"/>
    </xf>
    <xf numFmtId="166" fontId="3" fillId="0" borderId="0" xfId="0" applyNumberFormat="1" applyFont="1" applyFill="1" applyAlignment="1" applyProtection="1">
      <alignment horizontal="right"/>
      <protection locked="0"/>
    </xf>
    <xf numFmtId="0" fontId="44" fillId="41" borderId="0" xfId="0" applyFont="1" applyFill="1" applyAlignment="1" applyProtection="1">
      <alignment horizontal="left"/>
      <protection locked="0"/>
    </xf>
    <xf numFmtId="0" fontId="44" fillId="41" borderId="0" xfId="0" applyFont="1" applyFill="1" applyAlignment="1" applyProtection="1">
      <alignment horizontal="center"/>
      <protection locked="0"/>
    </xf>
    <xf numFmtId="167" fontId="44" fillId="41" borderId="0" xfId="0" applyNumberFormat="1" applyFont="1" applyFill="1" applyAlignment="1" applyProtection="1">
      <alignment horizontal="center"/>
      <protection locked="0"/>
    </xf>
    <xf numFmtId="0" fontId="8" fillId="41" borderId="0" xfId="0" applyFont="1" applyFill="1" applyAlignment="1" applyProtection="1">
      <protection locked="0"/>
    </xf>
    <xf numFmtId="0" fontId="11" fillId="41" borderId="0" xfId="0" applyFont="1" applyFill="1" applyAlignment="1" applyProtection="1">
      <protection locked="0"/>
    </xf>
    <xf numFmtId="0" fontId="7" fillId="41" borderId="0" xfId="0" applyFont="1" applyFill="1" applyAlignment="1" applyProtection="1">
      <protection locked="0"/>
    </xf>
    <xf numFmtId="14" fontId="11" fillId="41" borderId="0" xfId="0" applyNumberFormat="1" applyFont="1" applyFill="1" applyAlignment="1" applyProtection="1">
      <protection locked="0"/>
    </xf>
    <xf numFmtId="14" fontId="8" fillId="41" borderId="0" xfId="0" applyNumberFormat="1" applyFont="1" applyFill="1" applyAlignment="1" applyProtection="1">
      <protection locked="0"/>
    </xf>
    <xf numFmtId="14" fontId="7" fillId="41" borderId="0" xfId="0" applyNumberFormat="1" applyFont="1" applyFill="1" applyAlignment="1" applyProtection="1">
      <protection locked="0"/>
    </xf>
    <xf numFmtId="0" fontId="3" fillId="42" borderId="0" xfId="0" applyFont="1" applyFill="1" applyProtection="1">
      <protection locked="0"/>
    </xf>
    <xf numFmtId="0" fontId="3" fillId="41" borderId="0" xfId="0" applyFont="1" applyFill="1" applyProtection="1">
      <protection locked="0"/>
    </xf>
    <xf numFmtId="0" fontId="9" fillId="41" borderId="0" xfId="0" applyFont="1" applyFill="1" applyAlignment="1" applyProtection="1">
      <protection locked="0"/>
    </xf>
    <xf numFmtId="0" fontId="3" fillId="41" borderId="0" xfId="0" applyFont="1" applyFill="1" applyAlignment="1" applyProtection="1">
      <alignment horizontal="right"/>
      <protection locked="0"/>
    </xf>
    <xf numFmtId="0" fontId="0" fillId="41" borderId="0" xfId="0" applyFill="1" applyAlignment="1" applyProtection="1">
      <alignment horizontal="right"/>
      <protection locked="0"/>
    </xf>
    <xf numFmtId="0" fontId="9" fillId="42" borderId="0" xfId="0" applyFont="1" applyFill="1" applyAlignment="1" applyProtection="1">
      <alignment horizontal="center"/>
    </xf>
    <xf numFmtId="0" fontId="8" fillId="41" borderId="0" xfId="0" applyFont="1" applyFill="1" applyAlignment="1" applyProtection="1">
      <alignment horizontal="right"/>
      <protection locked="0"/>
    </xf>
    <xf numFmtId="0" fontId="8" fillId="41" borderId="0" xfId="0" applyFont="1" applyFill="1" applyProtection="1">
      <protection locked="0"/>
    </xf>
    <xf numFmtId="0" fontId="8" fillId="41" borderId="0" xfId="0" applyFont="1" applyFill="1" applyAlignment="1" applyProtection="1">
      <alignment horizontal="left"/>
      <protection locked="0"/>
    </xf>
    <xf numFmtId="164" fontId="8" fillId="42" borderId="2" xfId="0" applyNumberFormat="1" applyFont="1" applyFill="1" applyBorder="1" applyAlignment="1" applyProtection="1">
      <alignment horizontal="right"/>
    </xf>
    <xf numFmtId="0" fontId="3" fillId="41" borderId="0" xfId="0" applyFont="1" applyFill="1" applyAlignment="1" applyProtection="1">
      <alignment horizontal="center" wrapText="1"/>
      <protection locked="0"/>
    </xf>
    <xf numFmtId="0" fontId="3" fillId="41" borderId="0" xfId="0" applyFont="1" applyFill="1" applyAlignment="1" applyProtection="1">
      <alignment horizontal="left"/>
      <protection locked="0"/>
    </xf>
    <xf numFmtId="164" fontId="9" fillId="42" borderId="0" xfId="0" applyNumberFormat="1" applyFont="1" applyFill="1" applyAlignment="1" applyProtection="1">
      <alignment horizontal="center"/>
      <protection locked="0"/>
    </xf>
    <xf numFmtId="164" fontId="9" fillId="42" borderId="0" xfId="0" applyNumberFormat="1" applyFont="1" applyFill="1" applyAlignment="1" applyProtection="1">
      <alignment horizontal="center"/>
    </xf>
    <xf numFmtId="0" fontId="3" fillId="41" borderId="0" xfId="0" applyFont="1" applyFill="1" applyAlignment="1" applyProtection="1">
      <alignment horizontal="right" wrapText="1"/>
      <protection locked="0"/>
    </xf>
    <xf numFmtId="0" fontId="3" fillId="41" borderId="0" xfId="0" applyFont="1" applyFill="1" applyAlignment="1" applyProtection="1">
      <alignment horizontal="center"/>
      <protection locked="0"/>
    </xf>
    <xf numFmtId="164" fontId="8" fillId="42" borderId="2" xfId="0" applyNumberFormat="1" applyFont="1" applyFill="1" applyBorder="1" applyAlignment="1" applyProtection="1">
      <alignment horizontal="right"/>
      <protection locked="0"/>
    </xf>
    <xf numFmtId="164" fontId="8" fillId="42" borderId="5" xfId="0" applyNumberFormat="1" applyFont="1" applyFill="1" applyBorder="1" applyAlignment="1" applyProtection="1">
      <alignment horizontal="right"/>
      <protection locked="0"/>
    </xf>
    <xf numFmtId="165" fontId="3" fillId="0" borderId="0" xfId="0" applyNumberFormat="1" applyFont="1" applyFill="1" applyAlignment="1" applyProtection="1">
      <alignment horizontal="right"/>
      <protection locked="0"/>
    </xf>
    <xf numFmtId="164" fontId="3" fillId="42" borderId="0" xfId="0" applyNumberFormat="1" applyFont="1" applyFill="1" applyAlignment="1" applyProtection="1">
      <alignment horizontal="center"/>
    </xf>
    <xf numFmtId="0" fontId="9" fillId="41" borderId="0" xfId="0" applyFont="1" applyFill="1" applyProtection="1">
      <protection locked="0"/>
    </xf>
    <xf numFmtId="0" fontId="9" fillId="41" borderId="0" xfId="0" applyFont="1" applyFill="1" applyAlignment="1" applyProtection="1">
      <alignment horizontal="right"/>
      <protection locked="0"/>
    </xf>
    <xf numFmtId="164" fontId="8" fillId="42" borderId="6" xfId="0" applyNumberFormat="1" applyFont="1" applyFill="1" applyBorder="1" applyAlignment="1" applyProtection="1">
      <alignment horizontal="right"/>
    </xf>
    <xf numFmtId="164" fontId="8" fillId="42" borderId="7" xfId="0" applyNumberFormat="1" applyFont="1" applyFill="1" applyBorder="1" applyAlignment="1" applyProtection="1">
      <alignment horizontal="right"/>
    </xf>
    <xf numFmtId="0" fontId="3" fillId="42" borderId="0" xfId="0" applyFont="1" applyFill="1" applyAlignment="1" applyProtection="1">
      <alignment horizontal="left"/>
      <protection locked="0"/>
    </xf>
    <xf numFmtId="166" fontId="3" fillId="42" borderId="0" xfId="14" applyNumberFormat="1" applyFont="1" applyFill="1" applyProtection="1">
      <protection locked="0"/>
    </xf>
    <xf numFmtId="164" fontId="3" fillId="42" borderId="0" xfId="0" applyNumberFormat="1" applyFont="1" applyFill="1" applyAlignment="1" applyProtection="1">
      <alignment horizontal="center"/>
      <protection locked="0"/>
    </xf>
    <xf numFmtId="164" fontId="3" fillId="42" borderId="0" xfId="0" applyNumberFormat="1" applyFont="1" applyFill="1" applyAlignment="1" applyProtection="1">
      <alignment horizontal="right"/>
    </xf>
    <xf numFmtId="2" fontId="9" fillId="41" borderId="0" xfId="0" applyNumberFormat="1" applyFont="1" applyFill="1" applyAlignment="1" applyProtection="1">
      <alignment horizontal="right"/>
      <protection locked="0"/>
    </xf>
    <xf numFmtId="164" fontId="8" fillId="42" borderId="6" xfId="0" applyNumberFormat="1" applyFont="1" applyFill="1" applyBorder="1" applyAlignment="1" applyProtection="1">
      <alignment horizontal="right"/>
      <protection locked="0"/>
    </xf>
    <xf numFmtId="0" fontId="11" fillId="41" borderId="0" xfId="0" applyFont="1" applyFill="1" applyAlignment="1" applyProtection="1">
      <alignment horizontal="left"/>
      <protection locked="0"/>
    </xf>
    <xf numFmtId="0" fontId="11" fillId="41" borderId="0" xfId="0" applyFont="1" applyFill="1" applyAlignment="1" applyProtection="1">
      <alignment horizontal="right"/>
      <protection locked="0"/>
    </xf>
    <xf numFmtId="2" fontId="3" fillId="41" borderId="0" xfId="0" applyNumberFormat="1" applyFont="1" applyFill="1" applyAlignment="1" applyProtection="1">
      <alignment horizontal="right"/>
      <protection locked="0"/>
    </xf>
    <xf numFmtId="164" fontId="11" fillId="42" borderId="0" xfId="0" applyNumberFormat="1" applyFont="1" applyFill="1" applyAlignment="1" applyProtection="1">
      <alignment horizontal="right"/>
      <protection locked="0"/>
    </xf>
    <xf numFmtId="166" fontId="3" fillId="41" borderId="0" xfId="0" applyNumberFormat="1" applyFont="1" applyFill="1" applyAlignment="1" applyProtection="1">
      <alignment horizontal="right"/>
      <protection locked="0"/>
    </xf>
    <xf numFmtId="164" fontId="3" fillId="42" borderId="0" xfId="0" applyNumberFormat="1" applyFont="1" applyFill="1" applyBorder="1" applyAlignment="1" applyProtection="1">
      <alignment horizontal="right"/>
      <protection locked="0"/>
    </xf>
    <xf numFmtId="164" fontId="3" fillId="42" borderId="2" xfId="0" applyNumberFormat="1" applyFont="1" applyFill="1" applyBorder="1" applyAlignment="1" applyProtection="1">
      <alignment horizontal="right"/>
    </xf>
    <xf numFmtId="0" fontId="12" fillId="41" borderId="0" xfId="0" applyFont="1" applyFill="1" applyAlignment="1" applyProtection="1">
      <alignment horizontal="left"/>
      <protection locked="0"/>
    </xf>
    <xf numFmtId="0" fontId="3" fillId="41" borderId="0" xfId="0" applyFont="1" applyFill="1" applyAlignment="1" applyProtection="1">
      <protection locked="0"/>
    </xf>
    <xf numFmtId="164" fontId="3" fillId="42" borderId="2" xfId="0" applyNumberFormat="1" applyFont="1" applyFill="1" applyBorder="1" applyAlignment="1" applyProtection="1">
      <alignment horizontal="right"/>
      <protection locked="0"/>
    </xf>
    <xf numFmtId="164" fontId="3" fillId="42" borderId="5" xfId="0" applyNumberFormat="1" applyFont="1" applyFill="1" applyBorder="1" applyAlignment="1" applyProtection="1">
      <alignment horizontal="right"/>
      <protection locked="0"/>
    </xf>
    <xf numFmtId="0" fontId="0" fillId="41" borderId="0" xfId="0" applyFill="1" applyAlignment="1" applyProtection="1">
      <alignment horizontal="left"/>
      <protection locked="0"/>
    </xf>
    <xf numFmtId="165" fontId="3" fillId="41" borderId="0" xfId="0" applyNumberFormat="1" applyFont="1" applyFill="1" applyProtection="1">
      <protection locked="0"/>
    </xf>
    <xf numFmtId="2" fontId="9" fillId="41" borderId="0" xfId="0" applyNumberFormat="1" applyFont="1" applyFill="1" applyAlignment="1" applyProtection="1">
      <protection locked="0"/>
    </xf>
    <xf numFmtId="0" fontId="9" fillId="41" borderId="0" xfId="0" applyFont="1" applyFill="1" applyAlignment="1" applyProtection="1">
      <alignment horizontal="left"/>
      <protection locked="0"/>
    </xf>
    <xf numFmtId="0" fontId="22" fillId="41" borderId="0" xfId="0" applyFont="1" applyFill="1" applyAlignment="1" applyProtection="1">
      <alignment horizontal="left"/>
      <protection locked="0"/>
    </xf>
    <xf numFmtId="0" fontId="3" fillId="42" borderId="0" xfId="0" applyFont="1" applyFill="1" applyAlignment="1" applyProtection="1">
      <alignment horizontal="right"/>
      <protection locked="0"/>
    </xf>
    <xf numFmtId="0" fontId="8" fillId="42" borderId="0" xfId="0" applyFont="1" applyFill="1" applyAlignment="1" applyProtection="1">
      <alignment horizontal="left"/>
      <protection locked="0"/>
    </xf>
    <xf numFmtId="0" fontId="8" fillId="0" borderId="0" xfId="0" applyFont="1" applyFill="1" applyAlignment="1" applyProtection="1">
      <alignment horizontal="right"/>
      <protection locked="0"/>
    </xf>
    <xf numFmtId="2" fontId="3" fillId="42" borderId="0" xfId="0" applyNumberFormat="1" applyFont="1" applyFill="1" applyAlignment="1" applyProtection="1">
      <alignment horizontal="left"/>
      <protection locked="0"/>
    </xf>
    <xf numFmtId="164" fontId="3" fillId="42" borderId="0" xfId="0" applyNumberFormat="1" applyFont="1" applyFill="1" applyAlignment="1" applyProtection="1">
      <alignment horizontal="right"/>
      <protection locked="0"/>
    </xf>
    <xf numFmtId="0" fontId="3" fillId="0" borderId="0" xfId="0" applyFont="1" applyProtection="1">
      <protection locked="0"/>
    </xf>
    <xf numFmtId="0" fontId="47" fillId="0" borderId="0" xfId="0" applyFont="1" applyAlignment="1">
      <alignment horizontal="center" wrapText="1"/>
    </xf>
    <xf numFmtId="0" fontId="48" fillId="0" borderId="24" xfId="0" applyFont="1" applyFill="1" applyBorder="1" applyAlignment="1">
      <alignment horizontal="center" wrapText="1"/>
    </xf>
    <xf numFmtId="0" fontId="48" fillId="0" borderId="25" xfId="0" applyFont="1" applyBorder="1" applyAlignment="1">
      <alignment horizontal="center" wrapText="1"/>
    </xf>
    <xf numFmtId="0" fontId="11" fillId="0" borderId="0" xfId="0" applyFont="1" applyBorder="1" applyAlignment="1">
      <alignment horizontal="center" wrapText="1"/>
    </xf>
    <xf numFmtId="0" fontId="19" fillId="0" borderId="0" xfId="0" applyFont="1" applyAlignment="1">
      <alignment horizontal="centerContinuous" wrapText="1"/>
    </xf>
    <xf numFmtId="0" fontId="19" fillId="0" borderId="0" xfId="0" applyFont="1" applyAlignment="1">
      <alignment horizontal="center" wrapText="1"/>
    </xf>
    <xf numFmtId="0" fontId="19" fillId="0" borderId="0" xfId="0" applyFont="1" applyFill="1" applyBorder="1" applyAlignment="1">
      <alignment horizontal="center" wrapText="1"/>
    </xf>
    <xf numFmtId="0" fontId="49" fillId="0" borderId="0" xfId="0" applyFont="1" applyFill="1" applyBorder="1" applyAlignment="1">
      <alignment horizontal="centerContinuous"/>
    </xf>
    <xf numFmtId="39" fontId="9" fillId="0" borderId="0" xfId="0" applyNumberFormat="1" applyFont="1" applyFill="1" applyBorder="1" applyProtection="1"/>
    <xf numFmtId="0" fontId="3" fillId="0" borderId="0" xfId="0" applyFont="1" applyFill="1" applyBorder="1"/>
    <xf numFmtId="0" fontId="3" fillId="0" borderId="0" xfId="0" applyFont="1"/>
    <xf numFmtId="7" fontId="23" fillId="0" borderId="0" xfId="0" applyNumberFormat="1" applyFont="1" applyFill="1" applyAlignment="1" applyProtection="1"/>
    <xf numFmtId="0" fontId="50" fillId="0" borderId="0" xfId="0" applyFont="1" applyFill="1" applyBorder="1" applyAlignment="1">
      <alignment horizontal="left"/>
    </xf>
    <xf numFmtId="0" fontId="50" fillId="0" borderId="0" xfId="0" applyFont="1" applyFill="1" applyBorder="1" applyAlignment="1">
      <alignment horizontal="centerContinuous"/>
    </xf>
    <xf numFmtId="0" fontId="51" fillId="0" borderId="0" xfId="0" applyFont="1" applyFill="1" applyBorder="1"/>
    <xf numFmtId="0" fontId="9" fillId="0" borderId="0" xfId="0" applyFont="1" applyFill="1" applyBorder="1"/>
    <xf numFmtId="0" fontId="3" fillId="0" borderId="0" xfId="0" applyFont="1" applyFill="1" applyBorder="1" applyAlignment="1"/>
    <xf numFmtId="0" fontId="23" fillId="0" borderId="0" xfId="0" applyFont="1" applyFill="1" applyAlignment="1">
      <alignment horizontal="center" wrapText="1"/>
    </xf>
    <xf numFmtId="169" fontId="3" fillId="0" borderId="0" xfId="62" applyNumberFormat="1" applyFont="1" applyFill="1" applyBorder="1" applyAlignment="1"/>
    <xf numFmtId="44" fontId="3" fillId="0" borderId="0" xfId="62" applyFont="1" applyFill="1" applyBorder="1" applyAlignment="1">
      <alignment horizontal="left" vertical="center"/>
    </xf>
    <xf numFmtId="7" fontId="23" fillId="0" borderId="0" xfId="0" applyNumberFormat="1" applyFont="1" applyFill="1" applyAlignment="1" applyProtection="1">
      <alignment horizontal="center"/>
    </xf>
    <xf numFmtId="0" fontId="3" fillId="0" borderId="0" xfId="0" applyFont="1" applyFill="1"/>
    <xf numFmtId="0" fontId="3" fillId="0" borderId="0" xfId="0" applyFont="1" applyFill="1" applyAlignment="1">
      <alignment horizontal="center"/>
    </xf>
    <xf numFmtId="0" fontId="23" fillId="0" borderId="0" xfId="0" applyFont="1" applyFill="1" applyAlignment="1"/>
    <xf numFmtId="0" fontId="47" fillId="0" borderId="0" xfId="0" applyFont="1" applyFill="1" applyAlignment="1">
      <alignment horizontal="center" wrapText="1"/>
    </xf>
    <xf numFmtId="0" fontId="23" fillId="0" borderId="0" xfId="0" applyFont="1" applyFill="1" applyAlignment="1">
      <alignment horizontal="centerContinuous"/>
    </xf>
    <xf numFmtId="0" fontId="52" fillId="0" borderId="0" xfId="0" applyFont="1"/>
    <xf numFmtId="0" fontId="52" fillId="0" borderId="0" xfId="0" applyFont="1" applyFill="1" applyBorder="1"/>
    <xf numFmtId="0" fontId="21" fillId="0" borderId="0" xfId="0" applyFont="1" applyFill="1" applyBorder="1"/>
    <xf numFmtId="0" fontId="23" fillId="0" borderId="0" xfId="0" applyFont="1" applyFill="1" applyAlignment="1">
      <alignment horizontal="center"/>
    </xf>
    <xf numFmtId="0" fontId="0" fillId="0" borderId="0" xfId="0" applyFill="1" applyBorder="1"/>
    <xf numFmtId="39" fontId="53" fillId="0" borderId="0" xfId="0" applyNumberFormat="1" applyFont="1" applyFill="1" applyBorder="1" applyAlignment="1" applyProtection="1">
      <alignment horizontal="center" wrapText="1"/>
    </xf>
    <xf numFmtId="39" fontId="9" fillId="0" borderId="0" xfId="0" applyNumberFormat="1" applyFont="1" applyFill="1" applyBorder="1" applyAlignment="1" applyProtection="1">
      <alignment wrapText="1"/>
    </xf>
    <xf numFmtId="0" fontId="54" fillId="0" borderId="0" xfId="0" applyFont="1" applyFill="1" applyBorder="1"/>
    <xf numFmtId="0" fontId="23" fillId="0" borderId="0" xfId="0" applyFont="1" applyAlignment="1"/>
    <xf numFmtId="0" fontId="0" fillId="0" borderId="0" xfId="0" applyFill="1" applyAlignment="1"/>
    <xf numFmtId="0" fontId="3" fillId="0" borderId="0" xfId="0" applyFont="1" applyFill="1" applyAlignment="1"/>
    <xf numFmtId="0" fontId="23" fillId="0" borderId="0" xfId="0" applyFont="1" applyFill="1" applyBorder="1" applyAlignment="1"/>
    <xf numFmtId="0" fontId="23" fillId="0" borderId="0" xfId="0" applyFont="1" applyFill="1" applyBorder="1" applyAlignment="1">
      <alignment horizontal="center"/>
    </xf>
    <xf numFmtId="169" fontId="55" fillId="0" borderId="0" xfId="62" applyNumberFormat="1" applyFont="1" applyFill="1" applyBorder="1" applyProtection="1"/>
    <xf numFmtId="169" fontId="9" fillId="0" borderId="0" xfId="62" applyNumberFormat="1" applyFont="1" applyFill="1" applyBorder="1" applyProtection="1"/>
    <xf numFmtId="169" fontId="55" fillId="0" borderId="0" xfId="0" applyNumberFormat="1" applyFont="1" applyFill="1" applyBorder="1" applyProtection="1"/>
    <xf numFmtId="44" fontId="9" fillId="0" borderId="0" xfId="62" applyFont="1" applyFill="1" applyBorder="1" applyProtection="1"/>
    <xf numFmtId="37" fontId="55" fillId="0" borderId="0" xfId="0" applyNumberFormat="1" applyFont="1" applyFill="1" applyBorder="1" applyAlignment="1" applyProtection="1">
      <alignment horizontal="center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0" fontId="0" fillId="0" borderId="0" xfId="0" applyFill="1" applyBorder="1" applyAlignment="1">
      <alignment horizontal="right"/>
    </xf>
    <xf numFmtId="44" fontId="3" fillId="0" borderId="0" xfId="62" applyFont="1" applyFill="1" applyBorder="1"/>
    <xf numFmtId="44" fontId="0" fillId="0" borderId="0" xfId="62" applyFont="1" applyFill="1" applyBorder="1"/>
    <xf numFmtId="0" fontId="23" fillId="0" borderId="0" xfId="0" applyFont="1" applyFill="1" applyAlignment="1">
      <alignment horizontal="left"/>
    </xf>
    <xf numFmtId="0" fontId="9" fillId="0" borderId="0" xfId="0" applyFont="1" applyFill="1"/>
    <xf numFmtId="0" fontId="57" fillId="0" borderId="0" xfId="0" applyFont="1" applyFill="1" applyBorder="1"/>
    <xf numFmtId="0" fontId="58" fillId="0" borderId="0" xfId="0" applyFont="1" applyFill="1" applyBorder="1"/>
    <xf numFmtId="0" fontId="59" fillId="0" borderId="0" xfId="0" applyFont="1" applyFill="1" applyBorder="1"/>
    <xf numFmtId="0" fontId="8" fillId="0" borderId="0" xfId="0" applyFont="1" applyFill="1" applyBorder="1" applyAlignment="1">
      <alignment horizontal="center"/>
    </xf>
    <xf numFmtId="0" fontId="23" fillId="0" borderId="0" xfId="0" applyFont="1" applyFill="1" applyBorder="1"/>
    <xf numFmtId="0" fontId="60" fillId="0" borderId="0" xfId="0" applyFont="1" applyFill="1" applyAlignment="1"/>
    <xf numFmtId="39" fontId="61" fillId="0" borderId="0" xfId="0" applyNumberFormat="1" applyFont="1" applyFill="1" applyBorder="1" applyProtection="1"/>
    <xf numFmtId="0" fontId="61" fillId="0" borderId="0" xfId="0" applyFont="1" applyFill="1" applyBorder="1"/>
    <xf numFmtId="44" fontId="9" fillId="0" borderId="0" xfId="62" applyFont="1" applyFill="1" applyBorder="1"/>
    <xf numFmtId="170" fontId="9" fillId="0" borderId="0" xfId="61" applyNumberFormat="1" applyFont="1" applyFill="1" applyBorder="1"/>
    <xf numFmtId="0" fontId="55" fillId="0" borderId="0" xfId="0" applyFont="1" applyFill="1" applyBorder="1"/>
    <xf numFmtId="44" fontId="51" fillId="0" borderId="0" xfId="62" applyFont="1" applyFill="1" applyBorder="1"/>
    <xf numFmtId="0" fontId="53" fillId="0" borderId="0" xfId="0" applyFont="1" applyFill="1" applyBorder="1"/>
    <xf numFmtId="7" fontId="62" fillId="0" borderId="0" xfId="0" applyNumberFormat="1" applyFont="1" applyFill="1" applyAlignment="1" applyProtection="1"/>
    <xf numFmtId="44" fontId="23" fillId="0" borderId="0" xfId="62" applyFont="1" applyFill="1" applyBorder="1" applyAlignment="1">
      <alignment horizontal="left" vertical="center"/>
    </xf>
    <xf numFmtId="0" fontId="3" fillId="0" borderId="0" xfId="0" applyFont="1" applyFill="1" applyBorder="1" applyAlignment="1">
      <alignment vertical="top" wrapText="1"/>
    </xf>
    <xf numFmtId="0" fontId="0" fillId="41" borderId="0" xfId="0" applyFill="1" applyAlignment="1" applyProtection="1">
      <alignment horizontal="center"/>
      <protection locked="0"/>
    </xf>
    <xf numFmtId="9" fontId="3" fillId="0" borderId="0" xfId="14" applyFont="1" applyFill="1" applyAlignment="1" applyProtection="1">
      <alignment horizontal="center"/>
      <protection locked="0"/>
    </xf>
    <xf numFmtId="2" fontId="3" fillId="0" borderId="0" xfId="0" applyNumberFormat="1" applyFont="1" applyFill="1" applyAlignment="1" applyProtection="1">
      <alignment horizontal="center"/>
      <protection locked="0"/>
    </xf>
    <xf numFmtId="164" fontId="3" fillId="0" borderId="0" xfId="0" applyNumberFormat="1" applyFont="1" applyFill="1" applyBorder="1" applyAlignment="1" applyProtection="1">
      <alignment horizontal="right"/>
      <protection locked="0"/>
    </xf>
    <xf numFmtId="164" fontId="3" fillId="8" borderId="0" xfId="0" applyNumberFormat="1" applyFont="1" applyFill="1" applyBorder="1" applyAlignment="1" applyProtection="1">
      <alignment horizontal="right"/>
      <protection locked="0"/>
    </xf>
    <xf numFmtId="0" fontId="23" fillId="0" borderId="0" xfId="0" applyFont="1" applyAlignment="1" applyProtection="1">
      <alignment horizontal="center"/>
    </xf>
    <xf numFmtId="39" fontId="0" fillId="0" borderId="0" xfId="0" applyNumberFormat="1" applyFill="1" applyAlignment="1"/>
    <xf numFmtId="0" fontId="56" fillId="0" borderId="0" xfId="0" applyFont="1" applyFill="1" applyAlignment="1"/>
    <xf numFmtId="0" fontId="57" fillId="0" borderId="0" xfId="0" applyFont="1" applyFill="1"/>
    <xf numFmtId="0" fontId="46" fillId="0" borderId="0" xfId="0" applyFont="1" applyFill="1"/>
    <xf numFmtId="39" fontId="23" fillId="0" borderId="0" xfId="0" applyNumberFormat="1" applyFont="1" applyFill="1" applyAlignment="1"/>
    <xf numFmtId="0" fontId="9" fillId="0" borderId="0" xfId="0" applyFont="1" applyFill="1" applyBorder="1" applyAlignment="1">
      <alignment horizontal="right"/>
    </xf>
    <xf numFmtId="44" fontId="0" fillId="0" borderId="0" xfId="0" applyNumberFormat="1" applyFill="1" applyBorder="1"/>
    <xf numFmtId="2" fontId="15" fillId="0" borderId="0" xfId="11" applyNumberFormat="1" applyFont="1" applyFill="1" applyAlignment="1" applyProtection="1">
      <alignment horizontal="left"/>
      <protection locked="0"/>
    </xf>
    <xf numFmtId="0" fontId="3" fillId="0" borderId="0" xfId="0" applyFont="1" applyFill="1" applyBorder="1" applyAlignment="1">
      <alignment vertical="top" wrapText="1"/>
    </xf>
    <xf numFmtId="0" fontId="11" fillId="0" borderId="3" xfId="0" applyFont="1" applyFill="1" applyBorder="1" applyAlignment="1" applyProtection="1">
      <alignment horizontal="center" vertical="top" wrapText="1"/>
    </xf>
    <xf numFmtId="0" fontId="3" fillId="0" borderId="8" xfId="0" applyFont="1" applyFill="1" applyBorder="1" applyAlignment="1" applyProtection="1">
      <alignment vertical="top" wrapText="1"/>
    </xf>
    <xf numFmtId="167" fontId="24" fillId="41" borderId="9" xfId="0" applyNumberFormat="1" applyFont="1" applyFill="1" applyBorder="1" applyAlignment="1" applyProtection="1">
      <alignment horizontal="left"/>
      <protection locked="0"/>
    </xf>
    <xf numFmtId="0" fontId="25" fillId="41" borderId="10" xfId="0" applyFont="1" applyFill="1" applyBorder="1" applyAlignment="1" applyProtection="1">
      <alignment horizontal="left"/>
      <protection locked="0"/>
    </xf>
    <xf numFmtId="0" fontId="8" fillId="6" borderId="5" xfId="0" applyFont="1" applyFill="1" applyBorder="1" applyAlignment="1" applyProtection="1">
      <alignment horizontal="center"/>
      <protection locked="0"/>
    </xf>
    <xf numFmtId="0" fontId="0" fillId="6" borderId="7" xfId="0" applyFill="1" applyBorder="1" applyAlignment="1" applyProtection="1">
      <alignment horizontal="center"/>
      <protection locked="0"/>
    </xf>
    <xf numFmtId="0" fontId="8" fillId="6" borderId="9" xfId="0" applyFont="1" applyFill="1" applyBorder="1" applyAlignment="1" applyProtection="1">
      <alignment horizontal="center"/>
      <protection locked="0"/>
    </xf>
    <xf numFmtId="0" fontId="0" fillId="6" borderId="10" xfId="0" applyFill="1" applyBorder="1" applyAlignment="1" applyProtection="1">
      <alignment horizontal="center"/>
      <protection locked="0"/>
    </xf>
    <xf numFmtId="0" fontId="24" fillId="41" borderId="11" xfId="0" applyFont="1" applyFill="1" applyBorder="1" applyAlignment="1" applyProtection="1">
      <alignment horizontal="left"/>
      <protection locked="0"/>
    </xf>
    <xf numFmtId="0" fontId="0" fillId="41" borderId="12" xfId="0" applyFill="1" applyBorder="1" applyAlignment="1">
      <alignment horizontal="left"/>
    </xf>
    <xf numFmtId="0" fontId="3" fillId="0" borderId="0" xfId="0" applyFont="1" applyAlignment="1">
      <alignment horizontal="left" vertical="center" wrapText="1"/>
    </xf>
    <xf numFmtId="166" fontId="3" fillId="0" borderId="0" xfId="0" applyNumberFormat="1" applyFont="1" applyFill="1" applyAlignment="1" applyProtection="1">
      <alignment horizontal="right"/>
      <protection locked="0"/>
    </xf>
    <xf numFmtId="166" fontId="3" fillId="41" borderId="0" xfId="0" applyNumberFormat="1" applyFont="1" applyFill="1" applyAlignment="1" applyProtection="1">
      <alignment horizontal="right"/>
      <protection locked="0"/>
    </xf>
    <xf numFmtId="166" fontId="3" fillId="41" borderId="4" xfId="0" applyNumberFormat="1" applyFont="1" applyFill="1" applyBorder="1" applyAlignment="1" applyProtection="1">
      <alignment horizontal="right"/>
      <protection locked="0"/>
    </xf>
    <xf numFmtId="0" fontId="0" fillId="0" borderId="0" xfId="0" applyFill="1" applyAlignment="1" applyProtection="1">
      <alignment horizontal="right"/>
      <protection locked="0"/>
    </xf>
    <xf numFmtId="0" fontId="9" fillId="2" borderId="0" xfId="13" applyFont="1" applyFill="1" applyAlignment="1">
      <alignment horizontal="center"/>
    </xf>
    <xf numFmtId="0" fontId="13" fillId="2" borderId="0" xfId="0" applyFont="1" applyFill="1" applyAlignment="1">
      <alignment horizontal="left"/>
    </xf>
    <xf numFmtId="0" fontId="11" fillId="5" borderId="0" xfId="0" applyFont="1" applyFill="1" applyAlignment="1" applyProtection="1">
      <alignment horizontal="center" vertical="center" textRotation="90" wrapText="1"/>
    </xf>
    <xf numFmtId="0" fontId="10" fillId="0" borderId="0" xfId="0" applyFont="1" applyAlignment="1" applyProtection="1">
      <alignment textRotation="90" wrapText="1"/>
    </xf>
    <xf numFmtId="0" fontId="10" fillId="4" borderId="2" xfId="0" applyFont="1" applyFill="1" applyBorder="1" applyAlignment="1" applyProtection="1">
      <alignment horizontal="center" vertical="center"/>
      <protection locked="0"/>
    </xf>
    <xf numFmtId="0" fontId="10" fillId="4" borderId="5" xfId="0" applyFont="1" applyFill="1" applyBorder="1" applyAlignment="1" applyProtection="1">
      <alignment horizontal="center" vertical="center"/>
      <protection locked="0"/>
    </xf>
    <xf numFmtId="0" fontId="10" fillId="4" borderId="7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Alignment="1">
      <alignment horizontal="center" vertical="center" textRotation="90" wrapText="1"/>
    </xf>
    <xf numFmtId="0" fontId="10" fillId="0" borderId="0" xfId="0" applyFont="1" applyAlignment="1">
      <alignment textRotation="90" wrapText="1"/>
    </xf>
    <xf numFmtId="0" fontId="10" fillId="4" borderId="3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>
      <alignment horizontal="left" wrapText="1"/>
    </xf>
    <xf numFmtId="0" fontId="14" fillId="2" borderId="0" xfId="0" applyFont="1" applyFill="1" applyAlignment="1">
      <alignment horizontal="left"/>
    </xf>
    <xf numFmtId="0" fontId="11" fillId="5" borderId="5" xfId="0" applyFont="1" applyFill="1" applyBorder="1" applyAlignment="1" applyProtection="1">
      <alignment horizontal="center" vertical="center"/>
    </xf>
    <xf numFmtId="0" fontId="11" fillId="5" borderId="6" xfId="0" applyFont="1" applyFill="1" applyBorder="1" applyAlignment="1" applyProtection="1">
      <alignment horizontal="center" vertical="center"/>
    </xf>
    <xf numFmtId="0" fontId="11" fillId="5" borderId="7" xfId="0" applyFont="1" applyFill="1" applyBorder="1" applyAlignment="1" applyProtection="1">
      <alignment horizontal="center" vertical="center"/>
    </xf>
    <xf numFmtId="0" fontId="13" fillId="2" borderId="0" xfId="0" applyFont="1" applyFill="1" applyAlignment="1">
      <alignment horizontal="center" wrapText="1"/>
    </xf>
  </cellXfs>
  <cellStyles count="70">
    <cellStyle name="20% - Accent1" xfId="33" builtinId="30" customBuiltin="1"/>
    <cellStyle name="20% - Accent2" xfId="37" builtinId="34" customBuiltin="1"/>
    <cellStyle name="20% - Accent3" xfId="41" builtinId="38" customBuiltin="1"/>
    <cellStyle name="20% - Accent4" xfId="45" builtinId="42" customBuiltin="1"/>
    <cellStyle name="20% - Accent5" xfId="49" builtinId="46" customBuiltin="1"/>
    <cellStyle name="20% - Accent6" xfId="53" builtinId="50" customBuiltin="1"/>
    <cellStyle name="40% - Accent1" xfId="34" builtinId="31" customBuiltin="1"/>
    <cellStyle name="40% - Accent2" xfId="38" builtinId="35" customBuiltin="1"/>
    <cellStyle name="40% - Accent3" xfId="42" builtinId="39" customBuiltin="1"/>
    <cellStyle name="40% - Accent4" xfId="46" builtinId="43" customBuiltin="1"/>
    <cellStyle name="40% - Accent5" xfId="50" builtinId="47" customBuiltin="1"/>
    <cellStyle name="40% - Accent6" xfId="54" builtinId="51" customBuiltin="1"/>
    <cellStyle name="60% - Accent1" xfId="35" builtinId="32" customBuiltin="1"/>
    <cellStyle name="60% - Accent2" xfId="39" builtinId="36" customBuiltin="1"/>
    <cellStyle name="60% - Accent3" xfId="43" builtinId="40" customBuiltin="1"/>
    <cellStyle name="60% - Accent4" xfId="47" builtinId="44" customBuiltin="1"/>
    <cellStyle name="60% - Accent5" xfId="51" builtinId="48" customBuiltin="1"/>
    <cellStyle name="60% - Accent6" xfId="55" builtinId="52" customBuiltin="1"/>
    <cellStyle name="Accent1" xfId="32" builtinId="29" customBuiltin="1"/>
    <cellStyle name="Accent2" xfId="36" builtinId="33" customBuiltin="1"/>
    <cellStyle name="Accent3" xfId="40" builtinId="37" customBuiltin="1"/>
    <cellStyle name="Accent4" xfId="44" builtinId="41" customBuiltin="1"/>
    <cellStyle name="Accent5" xfId="48" builtinId="45" customBuiltin="1"/>
    <cellStyle name="Accent6" xfId="52" builtinId="49" customBuiltin="1"/>
    <cellStyle name="Bad" xfId="23" builtinId="27" customBuiltin="1"/>
    <cellStyle name="Calculation" xfId="27" builtinId="22" customBuiltin="1"/>
    <cellStyle name="Check Cell" xfId="29" builtinId="23" customBuiltin="1"/>
    <cellStyle name="Comma 2" xfId="1"/>
    <cellStyle name="Comma 2 2" xfId="2"/>
    <cellStyle name="Comma 2 3" xfId="61"/>
    <cellStyle name="Comma 3" xfId="57"/>
    <cellStyle name="Comma0" xfId="3"/>
    <cellStyle name="Currency 2" xfId="4"/>
    <cellStyle name="Currency 2 2" xfId="5"/>
    <cellStyle name="Currency 2 3" xfId="62"/>
    <cellStyle name="Currency 3" xfId="58"/>
    <cellStyle name="Currency0" xfId="6"/>
    <cellStyle name="Date" xfId="7"/>
    <cellStyle name="Explanatory Text" xfId="31" builtinId="53" customBuiltin="1"/>
    <cellStyle name="Fixed" xfId="8"/>
    <cellStyle name="Good" xfId="22" builtinId="26" customBuiltin="1"/>
    <cellStyle name="Heading 1 2" xfId="9"/>
    <cellStyle name="Heading 1 2 2" xfId="65"/>
    <cellStyle name="Heading 2 2" xfId="10"/>
    <cellStyle name="Heading 2 2 2" xfId="66"/>
    <cellStyle name="Heading 3" xfId="20" builtinId="18" customBuiltin="1"/>
    <cellStyle name="Heading 4" xfId="21" builtinId="19" customBuiltin="1"/>
    <cellStyle name="Hyperlink" xfId="11" builtinId="8"/>
    <cellStyle name="Hyperlink 2" xfId="12"/>
    <cellStyle name="Input" xfId="25" builtinId="20" customBuiltin="1"/>
    <cellStyle name="Linked Cell" xfId="28" builtinId="24" customBuiltin="1"/>
    <cellStyle name="Neutral" xfId="24" builtinId="28" customBuiltin="1"/>
    <cellStyle name="Normal" xfId="0" builtinId="0"/>
    <cellStyle name="Normal 2" xfId="13"/>
    <cellStyle name="Normal 2 2" xfId="59"/>
    <cellStyle name="Normal 3" xfId="64"/>
    <cellStyle name="Normal 4" xfId="56"/>
    <cellStyle name="Note 2" xfId="67"/>
    <cellStyle name="Output" xfId="26" builtinId="21" customBuiltin="1"/>
    <cellStyle name="Percent" xfId="14" builtinId="5"/>
    <cellStyle name="Percent 2" xfId="15"/>
    <cellStyle name="Percent 2 2" xfId="16"/>
    <cellStyle name="Percent 2 2 2" xfId="60"/>
    <cellStyle name="Percent 2 3" xfId="63"/>
    <cellStyle name="Percent 3" xfId="17"/>
    <cellStyle name="Percent 3 2" xfId="68"/>
    <cellStyle name="Title" xfId="19" builtinId="15" customBuiltin="1"/>
    <cellStyle name="Total 2" xfId="18"/>
    <cellStyle name="Total 2 2" xfId="69"/>
    <cellStyle name="Warning Text" xfId="30" builtinId="11" customBuiltin="1"/>
  </cellStyles>
  <dxfs count="0"/>
  <tableStyles count="0" defaultTableStyle="TableStyleMedium9" defaultPivotStyle="PivotStyleLight16"/>
  <colors>
    <mruColors>
      <color rgb="FFC0C0C0"/>
      <color rgb="FFFFFF99"/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8</xdr:row>
      <xdr:rowOff>0</xdr:rowOff>
    </xdr:from>
    <xdr:to>
      <xdr:col>5</xdr:col>
      <xdr:colOff>590550</xdr:colOff>
      <xdr:row>11</xdr:row>
      <xdr:rowOff>9524</xdr:rowOff>
    </xdr:to>
    <xdr:sp macro="[0]!Sheet2.CreateCSV" textlink="">
      <xdr:nvSpPr>
        <xdr:cNvPr id="8" name="Rectangle 7"/>
        <xdr:cNvSpPr/>
      </xdr:nvSpPr>
      <xdr:spPr>
        <a:xfrm>
          <a:off x="4514850" y="1495425"/>
          <a:ext cx="1200150" cy="581024"/>
        </a:xfrm>
        <a:prstGeom prst="rect">
          <a:avLst/>
        </a:prstGeom>
        <a:solidFill>
          <a:srgbClr val="C0504D"/>
        </a:solidFill>
        <a:ln w="25400" cap="flat" cmpd="sng" algn="ctr">
          <a:solidFill>
            <a:srgbClr val="C0504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Export to CSV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06-NIH_complete_budget-090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ospa.iastate.edu/Documents%20and%20Settings/bmneese/Local%20Settings/Temporary%20Internet%20Files/Content.Outlook/QHP08TJ8/BOB-2011-06-2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ce Page"/>
      <sheetName val="Base Budget"/>
      <sheetName val="Mod Budget Form"/>
      <sheetName val="Form Page 4"/>
      <sheetName val="Form Page 5"/>
      <sheetName val="Checklist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 here"/>
      <sheetName val="Salaries &amp; Wages"/>
      <sheetName val="Equip-Travel-Participants"/>
      <sheetName val="Other Direct"/>
      <sheetName val="Subcontracts"/>
      <sheetName val="Cumulative Budget"/>
      <sheetName val="Links"/>
      <sheetName val="Sheet1"/>
    </sheetNames>
    <sheetDataSet>
      <sheetData sheetId="0">
        <row r="10">
          <cell r="I10">
            <v>0</v>
          </cell>
        </row>
      </sheetData>
      <sheetData sheetId="1"/>
      <sheetData sheetId="2"/>
      <sheetData sheetId="3"/>
      <sheetData sheetId="4"/>
      <sheetData sheetId="5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60"/>
  <sheetViews>
    <sheetView topLeftCell="A22" workbookViewId="0">
      <selection activeCell="H40" sqref="H40"/>
    </sheetView>
  </sheetViews>
  <sheetFormatPr defaultRowHeight="12.75" x14ac:dyDescent="0.2"/>
  <cols>
    <col min="1" max="1" width="23.7109375" bestFit="1" customWidth="1"/>
    <col min="2" max="2" width="13.5703125" bestFit="1" customWidth="1"/>
    <col min="3" max="3" width="7.140625" bestFit="1" customWidth="1"/>
    <col min="4" max="4" width="13.85546875" customWidth="1"/>
    <col min="5" max="5" width="13.5703125" bestFit="1" customWidth="1"/>
    <col min="6" max="6" width="18" customWidth="1"/>
  </cols>
  <sheetData>
    <row r="1" spans="1:34" ht="42.75" customHeight="1" thickBot="1" x14ac:dyDescent="0.4">
      <c r="A1" s="205"/>
      <c r="B1" s="205"/>
      <c r="C1" s="205"/>
      <c r="D1" s="206" t="s">
        <v>235</v>
      </c>
      <c r="E1" s="207" t="s">
        <v>167</v>
      </c>
      <c r="F1" s="208" t="s">
        <v>168</v>
      </c>
      <c r="G1" s="209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1"/>
      <c r="U1" s="212"/>
      <c r="V1" s="212"/>
      <c r="W1" s="212"/>
      <c r="X1" s="212"/>
      <c r="Y1" s="212"/>
      <c r="Z1" s="212"/>
      <c r="AA1" s="212"/>
      <c r="AB1" s="212"/>
      <c r="AC1" s="212"/>
      <c r="AD1" s="212"/>
      <c r="AE1" s="213"/>
      <c r="AF1" s="214"/>
      <c r="AG1" s="214"/>
      <c r="AH1" s="215"/>
    </row>
    <row r="2" spans="1:34" ht="18" x14ac:dyDescent="0.25">
      <c r="A2" s="210" t="s">
        <v>169</v>
      </c>
      <c r="B2" s="210" t="s">
        <v>170</v>
      </c>
      <c r="C2" s="205"/>
      <c r="D2" s="216"/>
      <c r="E2" s="216"/>
      <c r="F2" s="205" t="s">
        <v>171</v>
      </c>
      <c r="G2" s="205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0"/>
      <c r="T2" s="217"/>
      <c r="U2" s="211"/>
      <c r="V2" s="218"/>
      <c r="W2" s="219"/>
      <c r="X2" s="211"/>
      <c r="Y2" s="211"/>
      <c r="Z2" s="211"/>
      <c r="AA2" s="211"/>
      <c r="AB2" s="211"/>
      <c r="AC2" s="211"/>
      <c r="AD2" s="211"/>
      <c r="AE2" s="211"/>
      <c r="AF2" s="213"/>
      <c r="AG2" s="220"/>
      <c r="AH2" s="215"/>
    </row>
    <row r="3" spans="1:34" x14ac:dyDescent="0.2">
      <c r="A3" s="221" t="s">
        <v>199</v>
      </c>
      <c r="B3" s="222" t="s">
        <v>200</v>
      </c>
      <c r="C3" s="10"/>
      <c r="D3" s="223">
        <f>(54116/3)*4</f>
        <v>72154.666666666672</v>
      </c>
      <c r="E3" s="224">
        <f>D3/12</f>
        <v>6012.8888888888896</v>
      </c>
      <c r="F3" s="225">
        <f t="shared" ref="F3:F57" si="0">E3/174</f>
        <v>34.556832694763735</v>
      </c>
      <c r="G3" s="216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</row>
    <row r="4" spans="1:34" x14ac:dyDescent="0.2">
      <c r="A4" s="221" t="s">
        <v>201</v>
      </c>
      <c r="B4" s="222" t="s">
        <v>200</v>
      </c>
      <c r="C4" s="10"/>
      <c r="D4" s="223">
        <v>76752</v>
      </c>
      <c r="E4" s="224">
        <f>D4/12</f>
        <v>6396</v>
      </c>
      <c r="F4" s="225">
        <f t="shared" si="0"/>
        <v>36.758620689655174</v>
      </c>
      <c r="G4" s="216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</row>
    <row r="5" spans="1:34" x14ac:dyDescent="0.2">
      <c r="A5" s="221" t="s">
        <v>174</v>
      </c>
      <c r="B5" s="222" t="s">
        <v>175</v>
      </c>
      <c r="C5" s="226"/>
      <c r="D5" s="223">
        <v>90313</v>
      </c>
      <c r="E5" s="224">
        <f>D5/9</f>
        <v>10034.777777777777</v>
      </c>
      <c r="F5" s="225">
        <f t="shared" si="0"/>
        <v>57.671136653895275</v>
      </c>
      <c r="G5" s="216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</row>
    <row r="6" spans="1:34" x14ac:dyDescent="0.2">
      <c r="A6" s="221" t="s">
        <v>239</v>
      </c>
      <c r="B6" s="222" t="s">
        <v>200</v>
      </c>
      <c r="C6" s="226"/>
      <c r="D6" s="223">
        <v>86800</v>
      </c>
      <c r="E6" s="224">
        <f>D6/12</f>
        <v>7233.333333333333</v>
      </c>
      <c r="F6" s="225">
        <f>E6/174</f>
        <v>41.570881226053636</v>
      </c>
      <c r="G6" s="216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</row>
    <row r="7" spans="1:34" ht="13.5" customHeight="1" x14ac:dyDescent="0.2">
      <c r="A7" s="10" t="s">
        <v>172</v>
      </c>
      <c r="B7" s="227" t="s">
        <v>173</v>
      </c>
      <c r="C7" s="10"/>
      <c r="D7" s="223">
        <v>68600</v>
      </c>
      <c r="E7" s="224">
        <f>D7/12</f>
        <v>5716.666666666667</v>
      </c>
      <c r="F7" s="225">
        <f t="shared" si="0"/>
        <v>32.854406130268202</v>
      </c>
      <c r="G7" s="216"/>
    </row>
    <row r="8" spans="1:34" ht="14.25" customHeight="1" x14ac:dyDescent="0.25">
      <c r="A8" s="228" t="s">
        <v>202</v>
      </c>
      <c r="B8" s="222" t="s">
        <v>200</v>
      </c>
      <c r="C8" s="229"/>
      <c r="D8" s="223">
        <v>79947</v>
      </c>
      <c r="E8" s="224">
        <f>D8/12</f>
        <v>6662.25</v>
      </c>
      <c r="F8" s="225">
        <f t="shared" si="0"/>
        <v>38.288793103448278</v>
      </c>
      <c r="G8" s="216"/>
      <c r="H8" s="230"/>
      <c r="I8" s="230"/>
      <c r="J8" s="230"/>
      <c r="K8" s="210"/>
      <c r="L8" s="210"/>
      <c r="M8" s="210"/>
      <c r="N8" s="210"/>
      <c r="O8" s="210"/>
      <c r="P8" s="210"/>
      <c r="Q8" s="210"/>
      <c r="R8" s="210"/>
      <c r="S8" s="210"/>
      <c r="T8" s="217"/>
      <c r="U8" s="211"/>
      <c r="V8" s="218"/>
      <c r="W8" s="219"/>
      <c r="X8" s="211"/>
      <c r="Y8" s="211"/>
      <c r="Z8" s="211"/>
      <c r="AA8" s="211"/>
      <c r="AB8" s="211"/>
      <c r="AC8" s="211"/>
      <c r="AD8" s="211"/>
      <c r="AE8" s="211"/>
      <c r="AF8" s="213"/>
      <c r="AG8" s="220"/>
      <c r="AH8" s="215"/>
    </row>
    <row r="9" spans="1:34" ht="18" x14ac:dyDescent="0.25">
      <c r="A9" s="228" t="s">
        <v>203</v>
      </c>
      <c r="B9" s="222" t="s">
        <v>200</v>
      </c>
      <c r="C9" s="229"/>
      <c r="D9" s="223">
        <v>168189</v>
      </c>
      <c r="E9" s="224">
        <f>D9/12</f>
        <v>14015.75</v>
      </c>
      <c r="F9" s="225">
        <f t="shared" si="0"/>
        <v>80.550287356321846</v>
      </c>
      <c r="G9" s="216"/>
      <c r="H9" s="230"/>
      <c r="I9" s="230"/>
      <c r="J9" s="230"/>
      <c r="K9" s="210"/>
      <c r="L9" s="210"/>
      <c r="M9" s="210"/>
      <c r="N9" s="210"/>
      <c r="O9" s="210"/>
      <c r="P9" s="210"/>
      <c r="Q9" s="210"/>
      <c r="R9" s="210"/>
      <c r="S9" s="210"/>
      <c r="T9" s="217"/>
      <c r="U9" s="211"/>
      <c r="V9" s="218"/>
      <c r="W9" s="219"/>
      <c r="X9" s="211"/>
      <c r="Y9" s="211"/>
      <c r="Z9" s="211"/>
      <c r="AA9" s="211"/>
      <c r="AB9" s="211"/>
      <c r="AC9" s="211"/>
      <c r="AD9" s="211"/>
      <c r="AE9" s="211"/>
      <c r="AF9" s="213"/>
      <c r="AG9" s="220"/>
      <c r="AH9" s="215"/>
    </row>
    <row r="10" spans="1:34" ht="15" x14ac:dyDescent="0.2">
      <c r="A10" s="228" t="s">
        <v>176</v>
      </c>
      <c r="B10" s="222" t="s">
        <v>175</v>
      </c>
      <c r="C10" s="229"/>
      <c r="D10" s="223">
        <v>178585</v>
      </c>
      <c r="E10" s="224">
        <f>D10/9</f>
        <v>19842.777777777777</v>
      </c>
      <c r="F10" s="225">
        <f t="shared" si="0"/>
        <v>114.0389527458493</v>
      </c>
      <c r="G10" s="216"/>
      <c r="H10" s="231"/>
      <c r="I10" s="231"/>
      <c r="J10" s="231"/>
      <c r="K10" s="231"/>
      <c r="L10" s="231"/>
      <c r="M10" s="231"/>
      <c r="N10" s="231"/>
      <c r="O10" s="231"/>
      <c r="P10" s="231"/>
      <c r="Q10" s="231"/>
      <c r="R10" s="231"/>
      <c r="S10" s="231"/>
      <c r="T10" s="232"/>
      <c r="U10" s="233"/>
      <c r="V10" s="233"/>
      <c r="W10" s="233"/>
      <c r="X10" s="233"/>
      <c r="Y10" s="233"/>
      <c r="Z10" s="233"/>
      <c r="AA10" s="233"/>
      <c r="AB10" s="233"/>
      <c r="AC10" s="233"/>
      <c r="AD10" s="233"/>
      <c r="AE10" s="233"/>
      <c r="AF10" s="233"/>
      <c r="AG10" s="233"/>
      <c r="AH10" s="231"/>
    </row>
    <row r="11" spans="1:34" x14ac:dyDescent="0.2">
      <c r="A11" s="221" t="s">
        <v>177</v>
      </c>
      <c r="B11" s="222" t="s">
        <v>175</v>
      </c>
      <c r="C11" s="234"/>
      <c r="D11" s="223">
        <v>102000</v>
      </c>
      <c r="E11" s="224">
        <f>D11/9</f>
        <v>11333.333333333334</v>
      </c>
      <c r="F11" s="225">
        <f t="shared" si="0"/>
        <v>65.134099616858236</v>
      </c>
      <c r="G11" s="216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</row>
    <row r="12" spans="1:34" ht="15" x14ac:dyDescent="0.2">
      <c r="A12" s="228" t="s">
        <v>236</v>
      </c>
      <c r="B12" s="222" t="s">
        <v>200</v>
      </c>
      <c r="C12" s="234"/>
      <c r="D12" s="223">
        <v>56483</v>
      </c>
      <c r="E12" s="224">
        <f>D12/12</f>
        <v>4706.916666666667</v>
      </c>
      <c r="F12" s="225">
        <f t="shared" si="0"/>
        <v>27.05124521072797</v>
      </c>
      <c r="G12" s="216"/>
      <c r="T12" s="235"/>
      <c r="U12" s="220"/>
      <c r="V12" s="236"/>
      <c r="W12" s="236"/>
      <c r="X12" s="236"/>
      <c r="Y12" s="236"/>
      <c r="Z12" s="236"/>
      <c r="AA12" s="236"/>
      <c r="AB12" s="236"/>
      <c r="AC12" s="236"/>
      <c r="AD12" s="236"/>
      <c r="AE12" s="237"/>
      <c r="AF12" s="213"/>
      <c r="AG12" s="220"/>
      <c r="AH12" s="215"/>
    </row>
    <row r="13" spans="1:34" ht="15" x14ac:dyDescent="0.2">
      <c r="A13" s="228" t="s">
        <v>204</v>
      </c>
      <c r="B13" s="222" t="s">
        <v>200</v>
      </c>
      <c r="C13" s="234"/>
      <c r="D13" s="223">
        <v>70561</v>
      </c>
      <c r="E13" s="224">
        <f>D13/12</f>
        <v>5880.083333333333</v>
      </c>
      <c r="F13" s="225">
        <f t="shared" si="0"/>
        <v>33.793582375478927</v>
      </c>
      <c r="G13" s="216"/>
      <c r="H13" s="210"/>
      <c r="I13" s="210"/>
      <c r="J13" s="210"/>
      <c r="K13" s="210"/>
      <c r="L13" s="210"/>
      <c r="M13" s="210"/>
      <c r="N13" s="210"/>
      <c r="O13" s="210"/>
      <c r="P13" s="210"/>
      <c r="Q13" s="210"/>
      <c r="R13" s="210"/>
      <c r="S13" s="210"/>
      <c r="T13" s="211"/>
      <c r="U13" s="238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20"/>
      <c r="AH13" s="215"/>
    </row>
    <row r="14" spans="1:34" ht="15" x14ac:dyDescent="0.2">
      <c r="A14" s="228" t="s">
        <v>194</v>
      </c>
      <c r="B14" s="222" t="s">
        <v>195</v>
      </c>
      <c r="C14" s="229"/>
      <c r="D14" s="223">
        <v>55550</v>
      </c>
      <c r="E14" s="224">
        <f>D14/12</f>
        <v>4629.166666666667</v>
      </c>
      <c r="F14" s="225">
        <f t="shared" si="0"/>
        <v>26.604406130268202</v>
      </c>
      <c r="G14" s="216"/>
      <c r="H14" s="210"/>
      <c r="I14" s="210"/>
      <c r="J14" s="210"/>
      <c r="K14" s="210"/>
      <c r="L14" s="210"/>
      <c r="M14" s="210"/>
      <c r="N14" s="210"/>
      <c r="O14" s="210"/>
      <c r="P14" s="210"/>
      <c r="Q14" s="210"/>
      <c r="R14" s="210"/>
      <c r="S14" s="210"/>
      <c r="T14" s="211"/>
      <c r="U14" s="238"/>
      <c r="V14" s="213"/>
      <c r="W14" s="213"/>
      <c r="X14" s="213"/>
      <c r="Y14" s="213"/>
      <c r="Z14" s="213"/>
      <c r="AA14" s="213"/>
      <c r="AB14" s="213"/>
      <c r="AC14" s="213"/>
      <c r="AD14" s="213"/>
      <c r="AE14" s="213"/>
      <c r="AF14" s="213"/>
      <c r="AG14" s="220"/>
      <c r="AH14" s="215"/>
    </row>
    <row r="15" spans="1:34" x14ac:dyDescent="0.2">
      <c r="A15" s="10" t="s">
        <v>178</v>
      </c>
      <c r="B15" s="227" t="s">
        <v>175</v>
      </c>
      <c r="C15" s="10"/>
      <c r="D15" s="223">
        <v>89303</v>
      </c>
      <c r="E15" s="224">
        <f>D15/9</f>
        <v>9922.5555555555547</v>
      </c>
      <c r="F15" s="225">
        <f t="shared" si="0"/>
        <v>57.026181353767555</v>
      </c>
      <c r="G15" s="216"/>
    </row>
    <row r="16" spans="1:34" x14ac:dyDescent="0.2">
      <c r="A16" s="239" t="s">
        <v>179</v>
      </c>
      <c r="B16" s="222" t="s">
        <v>175</v>
      </c>
      <c r="C16" s="277"/>
      <c r="D16" s="223">
        <v>113868</v>
      </c>
      <c r="E16" s="224">
        <f>D16/9</f>
        <v>12652</v>
      </c>
      <c r="F16" s="225">
        <f t="shared" si="0"/>
        <v>72.712643678160916</v>
      </c>
      <c r="G16" s="216"/>
      <c r="H16" s="215" t="s">
        <v>184</v>
      </c>
    </row>
    <row r="17" spans="1:34" x14ac:dyDescent="0.2">
      <c r="A17" s="239" t="s">
        <v>205</v>
      </c>
      <c r="B17" s="222" t="s">
        <v>200</v>
      </c>
      <c r="C17" s="277"/>
      <c r="D17" s="223">
        <v>38443</v>
      </c>
      <c r="E17" s="224">
        <f>D17/12</f>
        <v>3203.5833333333335</v>
      </c>
      <c r="F17" s="225">
        <f t="shared" si="0"/>
        <v>18.411398467432949</v>
      </c>
      <c r="G17" s="216"/>
      <c r="H17" s="215"/>
      <c r="I17" s="215"/>
      <c r="J17" s="215"/>
      <c r="K17" s="215"/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215"/>
      <c r="Z17" s="215"/>
      <c r="AA17" s="215"/>
      <c r="AB17" s="215"/>
      <c r="AC17" s="215"/>
      <c r="AD17" s="215"/>
      <c r="AE17" s="215"/>
      <c r="AF17" s="215"/>
      <c r="AG17" s="215"/>
      <c r="AH17" s="215"/>
    </row>
    <row r="18" spans="1:34" ht="15" x14ac:dyDescent="0.2">
      <c r="A18" s="228" t="s">
        <v>206</v>
      </c>
      <c r="B18" s="222" t="s">
        <v>200</v>
      </c>
      <c r="C18" s="234"/>
      <c r="D18" s="223">
        <v>88004</v>
      </c>
      <c r="E18" s="224">
        <f>D18/12</f>
        <v>7333.666666666667</v>
      </c>
      <c r="F18" s="225">
        <f t="shared" si="0"/>
        <v>42.14750957854406</v>
      </c>
      <c r="G18" s="216"/>
      <c r="T18" s="235"/>
      <c r="U18" s="220"/>
      <c r="V18" s="236"/>
      <c r="W18" s="236"/>
      <c r="X18" s="236"/>
      <c r="Y18" s="236"/>
      <c r="Z18" s="236"/>
      <c r="AA18" s="236"/>
      <c r="AB18" s="236"/>
      <c r="AC18" s="236"/>
      <c r="AD18" s="236"/>
      <c r="AE18" s="237"/>
      <c r="AF18" s="213"/>
      <c r="AG18" s="220"/>
      <c r="AH18" s="215"/>
    </row>
    <row r="19" spans="1:34" x14ac:dyDescent="0.2">
      <c r="A19" s="221" t="s">
        <v>180</v>
      </c>
      <c r="B19" s="222" t="s">
        <v>175</v>
      </c>
      <c r="C19" s="240"/>
      <c r="D19" s="223">
        <v>162254</v>
      </c>
      <c r="E19" s="224">
        <f>D19/9</f>
        <v>18028.222222222223</v>
      </c>
      <c r="F19" s="225">
        <f t="shared" si="0"/>
        <v>103.61047254150702</v>
      </c>
      <c r="G19" s="216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</row>
    <row r="20" spans="1:34" x14ac:dyDescent="0.2">
      <c r="A20" s="242" t="s">
        <v>240</v>
      </c>
      <c r="B20" s="222" t="s">
        <v>241</v>
      </c>
      <c r="C20" s="240"/>
      <c r="D20" s="223">
        <v>113464</v>
      </c>
      <c r="E20" s="224">
        <f>D20/12</f>
        <v>9455.3333333333339</v>
      </c>
      <c r="F20" s="225">
        <f>E20/174</f>
        <v>54.340996168582379</v>
      </c>
      <c r="G20" s="216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</row>
    <row r="21" spans="1:34" x14ac:dyDescent="0.2">
      <c r="A21" s="241" t="s">
        <v>181</v>
      </c>
      <c r="B21" s="222" t="s">
        <v>175</v>
      </c>
      <c r="C21" s="240"/>
      <c r="D21" s="223">
        <v>147298</v>
      </c>
      <c r="E21" s="224">
        <f>D21/9</f>
        <v>16366.444444444445</v>
      </c>
      <c r="F21" s="225">
        <f t="shared" si="0"/>
        <v>94.060025542784174</v>
      </c>
      <c r="G21" s="21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</row>
    <row r="22" spans="1:34" x14ac:dyDescent="0.2">
      <c r="A22" s="10" t="s">
        <v>207</v>
      </c>
      <c r="B22" s="227" t="s">
        <v>200</v>
      </c>
      <c r="C22" s="10"/>
      <c r="D22" s="223">
        <v>104409</v>
      </c>
      <c r="E22" s="224">
        <f>D22/12</f>
        <v>8700.75</v>
      </c>
      <c r="F22" s="225">
        <f t="shared" si="0"/>
        <v>50.004310344827587</v>
      </c>
      <c r="G22" s="216"/>
    </row>
    <row r="23" spans="1:34" x14ac:dyDescent="0.2">
      <c r="A23" s="221" t="s">
        <v>208</v>
      </c>
      <c r="B23" s="222" t="s">
        <v>200</v>
      </c>
      <c r="C23" s="10"/>
      <c r="D23" s="223">
        <v>143476</v>
      </c>
      <c r="E23" s="224">
        <f>D23/12</f>
        <v>11956.333333333334</v>
      </c>
      <c r="F23" s="225">
        <f t="shared" si="0"/>
        <v>68.714559386973178</v>
      </c>
      <c r="G23" s="216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</row>
    <row r="24" spans="1:34" ht="15" x14ac:dyDescent="0.2">
      <c r="A24" s="242" t="s">
        <v>209</v>
      </c>
      <c r="B24" s="222" t="s">
        <v>200</v>
      </c>
      <c r="C24" s="243"/>
      <c r="D24" s="223">
        <v>78619</v>
      </c>
      <c r="E24" s="224">
        <f>D24/12</f>
        <v>6551.583333333333</v>
      </c>
      <c r="F24" s="225">
        <f t="shared" si="0"/>
        <v>37.652777777777779</v>
      </c>
      <c r="G24" s="216"/>
      <c r="T24" s="235"/>
      <c r="U24" s="220"/>
      <c r="V24" s="244"/>
      <c r="W24" s="244"/>
      <c r="X24" s="244"/>
      <c r="Y24" s="244"/>
      <c r="Z24" s="245"/>
      <c r="AA24" s="246"/>
      <c r="AB24" s="247"/>
      <c r="AC24" s="247"/>
      <c r="AD24" s="248"/>
      <c r="AE24" s="245"/>
      <c r="AF24" s="213"/>
      <c r="AG24" s="220"/>
      <c r="AH24" s="215"/>
    </row>
    <row r="25" spans="1:34" ht="15" x14ac:dyDescent="0.2">
      <c r="A25" s="242" t="s">
        <v>182</v>
      </c>
      <c r="B25" s="222" t="s">
        <v>175</v>
      </c>
      <c r="C25" s="242"/>
      <c r="D25" s="223">
        <v>130319</v>
      </c>
      <c r="E25" s="224">
        <f>D25/9</f>
        <v>14479.888888888889</v>
      </c>
      <c r="F25" s="225">
        <f t="shared" si="0"/>
        <v>83.217752234993611</v>
      </c>
      <c r="G25" s="216"/>
      <c r="T25" s="235"/>
      <c r="U25" s="220"/>
      <c r="V25" s="244"/>
      <c r="W25" s="244"/>
      <c r="X25" s="244"/>
      <c r="Y25" s="244"/>
      <c r="Z25" s="245"/>
      <c r="AA25" s="246"/>
      <c r="AB25" s="247"/>
      <c r="AC25" s="247"/>
      <c r="AD25" s="248"/>
      <c r="AE25" s="245"/>
      <c r="AF25" s="213"/>
      <c r="AG25" s="220"/>
      <c r="AH25" s="215"/>
    </row>
    <row r="26" spans="1:34" ht="18" x14ac:dyDescent="0.25">
      <c r="A26" s="228" t="s">
        <v>183</v>
      </c>
      <c r="B26" s="222" t="s">
        <v>175</v>
      </c>
      <c r="C26" s="234"/>
      <c r="D26" s="223">
        <v>102974</v>
      </c>
      <c r="E26" s="224">
        <f>D26/9</f>
        <v>11441.555555555555</v>
      </c>
      <c r="F26" s="225">
        <f t="shared" si="0"/>
        <v>65.75606641123882</v>
      </c>
      <c r="G26" s="216"/>
      <c r="H26" s="210"/>
      <c r="I26" s="210"/>
      <c r="J26" s="210"/>
      <c r="K26" s="210"/>
      <c r="L26" s="210"/>
      <c r="M26" s="210"/>
      <c r="N26" s="210"/>
      <c r="O26" s="210"/>
      <c r="P26" s="210"/>
      <c r="Q26" s="210"/>
      <c r="R26" s="210"/>
      <c r="S26" s="210"/>
      <c r="T26" s="217"/>
      <c r="U26" s="211"/>
      <c r="V26" s="218"/>
      <c r="W26" s="219"/>
      <c r="X26" s="211"/>
      <c r="Y26" s="211"/>
      <c r="Z26" s="211"/>
      <c r="AA26" s="211"/>
      <c r="AB26" s="211"/>
      <c r="AC26" s="211"/>
      <c r="AD26" s="211"/>
      <c r="AE26" s="211"/>
      <c r="AF26" s="213"/>
      <c r="AG26" s="220"/>
      <c r="AH26" s="215"/>
    </row>
    <row r="27" spans="1:34" ht="18" x14ac:dyDescent="0.25">
      <c r="A27" s="228" t="s">
        <v>210</v>
      </c>
      <c r="B27" s="222" t="s">
        <v>200</v>
      </c>
      <c r="C27" s="234"/>
      <c r="D27" s="223">
        <v>103234</v>
      </c>
      <c r="E27" s="224">
        <f t="shared" ref="E27:E36" si="1">D27/12</f>
        <v>8602.8333333333339</v>
      </c>
      <c r="F27" s="225">
        <f t="shared" si="0"/>
        <v>49.441570881226056</v>
      </c>
      <c r="G27" s="216"/>
      <c r="H27" s="210"/>
      <c r="I27" s="210"/>
      <c r="J27" s="210"/>
      <c r="K27" s="210"/>
      <c r="L27" s="210"/>
      <c r="M27" s="210"/>
      <c r="N27" s="210"/>
      <c r="O27" s="210"/>
      <c r="P27" s="210"/>
      <c r="Q27" s="210"/>
      <c r="R27" s="210"/>
      <c r="S27" s="210"/>
      <c r="T27" s="217"/>
      <c r="U27" s="211"/>
      <c r="V27" s="218"/>
      <c r="W27" s="219"/>
      <c r="X27" s="211"/>
      <c r="Y27" s="211"/>
      <c r="Z27" s="211"/>
      <c r="AA27" s="211"/>
      <c r="AB27" s="211"/>
      <c r="AC27" s="211"/>
      <c r="AD27" s="211"/>
      <c r="AE27" s="211"/>
      <c r="AF27" s="213"/>
      <c r="AG27" s="220"/>
      <c r="AH27" s="215"/>
    </row>
    <row r="28" spans="1:34" x14ac:dyDescent="0.2">
      <c r="A28" s="249" t="s">
        <v>211</v>
      </c>
      <c r="B28" s="250" t="s">
        <v>200</v>
      </c>
      <c r="D28" s="223">
        <v>62879</v>
      </c>
      <c r="E28" s="224">
        <f t="shared" si="1"/>
        <v>5239.916666666667</v>
      </c>
      <c r="F28" s="225">
        <f t="shared" si="0"/>
        <v>30.11446360153257</v>
      </c>
    </row>
    <row r="29" spans="1:34" s="10" customFormat="1" x14ac:dyDescent="0.2">
      <c r="A29" s="228" t="s">
        <v>196</v>
      </c>
      <c r="B29" s="227" t="s">
        <v>197</v>
      </c>
      <c r="C29" s="228"/>
      <c r="D29" s="223">
        <v>42616</v>
      </c>
      <c r="E29" s="224">
        <f t="shared" si="1"/>
        <v>3551.3333333333335</v>
      </c>
      <c r="F29" s="225">
        <f t="shared" si="0"/>
        <v>20.409961685823756</v>
      </c>
      <c r="G29" s="216"/>
      <c r="T29" s="235"/>
      <c r="U29" s="251"/>
      <c r="V29" s="235"/>
      <c r="W29" s="252"/>
      <c r="X29" s="235"/>
      <c r="Y29" s="235"/>
      <c r="Z29" s="235"/>
      <c r="AA29" s="235"/>
      <c r="AB29" s="235"/>
      <c r="AC29" s="235"/>
      <c r="AD29" s="253"/>
      <c r="AE29" s="235"/>
      <c r="AF29" s="235"/>
      <c r="AG29" s="235"/>
    </row>
    <row r="30" spans="1:34" s="10" customFormat="1" ht="15" x14ac:dyDescent="0.2">
      <c r="A30" s="254" t="s">
        <v>212</v>
      </c>
      <c r="B30" s="234" t="s">
        <v>200</v>
      </c>
      <c r="C30" s="230"/>
      <c r="D30" s="223">
        <v>33638</v>
      </c>
      <c r="E30" s="224">
        <f t="shared" si="1"/>
        <v>2803.1666666666665</v>
      </c>
      <c r="F30" s="225">
        <f t="shared" si="0"/>
        <v>16.110153256704979</v>
      </c>
      <c r="G30" s="216"/>
      <c r="H30" s="255"/>
      <c r="I30" s="255"/>
      <c r="J30" s="255"/>
      <c r="K30" s="255"/>
      <c r="L30" s="255"/>
      <c r="M30" s="255"/>
      <c r="N30" s="255"/>
      <c r="O30" s="255"/>
      <c r="P30" s="255"/>
      <c r="Q30" s="255"/>
      <c r="R30" s="255"/>
      <c r="S30" s="255"/>
      <c r="T30" s="255"/>
      <c r="U30" s="255"/>
      <c r="V30" s="255"/>
      <c r="W30" s="255"/>
      <c r="X30" s="255"/>
      <c r="Y30" s="255"/>
      <c r="Z30" s="255"/>
      <c r="AA30" s="255"/>
      <c r="AB30" s="255"/>
      <c r="AC30" s="255"/>
      <c r="AD30" s="255"/>
      <c r="AE30" s="255"/>
      <c r="AF30" s="255"/>
      <c r="AG30" s="255"/>
      <c r="AH30" s="255"/>
    </row>
    <row r="31" spans="1:34" s="10" customFormat="1" ht="15" x14ac:dyDescent="0.2">
      <c r="A31" s="228" t="s">
        <v>213</v>
      </c>
      <c r="B31" s="222" t="s">
        <v>200</v>
      </c>
      <c r="C31" s="279"/>
      <c r="D31" s="223">
        <v>66560</v>
      </c>
      <c r="E31" s="224">
        <f t="shared" si="1"/>
        <v>5546.666666666667</v>
      </c>
      <c r="F31" s="225">
        <f t="shared" si="0"/>
        <v>31.877394636015328</v>
      </c>
      <c r="G31" s="216"/>
      <c r="H31" s="280"/>
      <c r="I31" s="280"/>
      <c r="J31" s="280"/>
      <c r="K31" s="280"/>
      <c r="L31" s="280"/>
      <c r="M31" s="280"/>
      <c r="N31" s="280"/>
      <c r="O31" s="280"/>
      <c r="P31" s="280"/>
      <c r="Q31" s="280"/>
      <c r="R31" s="280"/>
      <c r="S31" s="280"/>
      <c r="T31" s="256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80"/>
    </row>
    <row r="32" spans="1:34" s="10" customFormat="1" ht="15.75" x14ac:dyDescent="0.25">
      <c r="A32" s="228" t="s">
        <v>214</v>
      </c>
      <c r="B32" s="234" t="s">
        <v>200</v>
      </c>
      <c r="C32" s="228"/>
      <c r="D32" s="223">
        <v>44680</v>
      </c>
      <c r="E32" s="224">
        <f t="shared" si="1"/>
        <v>3723.3333333333335</v>
      </c>
      <c r="F32" s="225">
        <f t="shared" si="0"/>
        <v>21.398467432950191</v>
      </c>
      <c r="G32" s="216"/>
      <c r="H32" s="226"/>
      <c r="I32" s="226"/>
      <c r="J32" s="226"/>
      <c r="K32" s="226"/>
      <c r="L32" s="226"/>
      <c r="M32" s="226"/>
      <c r="N32" s="226"/>
      <c r="O32" s="226"/>
      <c r="P32" s="226"/>
      <c r="Q32" s="226"/>
      <c r="R32" s="226"/>
      <c r="S32" s="226"/>
      <c r="T32" s="258"/>
      <c r="U32" s="259"/>
      <c r="V32" s="243"/>
      <c r="W32" s="243"/>
      <c r="X32" s="260"/>
      <c r="Y32" s="260"/>
      <c r="Z32" s="243"/>
      <c r="AA32" s="260"/>
      <c r="AB32" s="260"/>
      <c r="AC32" s="260"/>
      <c r="AD32" s="260"/>
      <c r="AE32" s="220"/>
      <c r="AF32" s="220"/>
      <c r="AG32" s="220"/>
      <c r="AH32" s="226"/>
    </row>
    <row r="33" spans="1:34" s="10" customFormat="1" ht="15.75" x14ac:dyDescent="0.25">
      <c r="A33" s="228" t="s">
        <v>215</v>
      </c>
      <c r="B33" s="234" t="s">
        <v>200</v>
      </c>
      <c r="C33" s="228"/>
      <c r="D33" s="223">
        <v>51180</v>
      </c>
      <c r="E33" s="224">
        <f t="shared" si="1"/>
        <v>4265</v>
      </c>
      <c r="F33" s="225">
        <f t="shared" si="0"/>
        <v>24.511494252873565</v>
      </c>
      <c r="G33" s="216"/>
      <c r="T33" s="258"/>
      <c r="U33" s="259"/>
      <c r="V33" s="243"/>
      <c r="W33" s="243"/>
      <c r="X33" s="260"/>
      <c r="Y33" s="260"/>
      <c r="Z33" s="243"/>
      <c r="AA33" s="260"/>
      <c r="AB33" s="260"/>
      <c r="AC33" s="260"/>
      <c r="AD33" s="260"/>
      <c r="AE33" s="220"/>
      <c r="AF33" s="220"/>
      <c r="AG33" s="220"/>
      <c r="AH33" s="226"/>
    </row>
    <row r="34" spans="1:34" s="10" customFormat="1" ht="15.75" x14ac:dyDescent="0.25">
      <c r="A34" s="228" t="s">
        <v>216</v>
      </c>
      <c r="B34" s="234" t="s">
        <v>173</v>
      </c>
      <c r="C34" s="228"/>
      <c r="D34" s="223">
        <v>150000</v>
      </c>
      <c r="E34" s="224">
        <f t="shared" si="1"/>
        <v>12500</v>
      </c>
      <c r="F34" s="225">
        <f t="shared" si="0"/>
        <v>71.839080459770116</v>
      </c>
      <c r="G34" s="216"/>
      <c r="T34" s="258"/>
      <c r="U34" s="259"/>
      <c r="V34" s="243"/>
      <c r="W34" s="243"/>
      <c r="X34" s="260"/>
      <c r="Y34" s="260"/>
      <c r="Z34" s="243"/>
      <c r="AA34" s="260"/>
      <c r="AB34" s="260"/>
      <c r="AC34" s="260"/>
      <c r="AD34" s="260"/>
      <c r="AE34" s="220"/>
      <c r="AF34" s="220"/>
      <c r="AG34" s="220"/>
      <c r="AH34" s="226"/>
    </row>
    <row r="35" spans="1:34" s="10" customFormat="1" ht="15" x14ac:dyDescent="0.2">
      <c r="A35" s="228" t="s">
        <v>217</v>
      </c>
      <c r="B35" s="234" t="s">
        <v>200</v>
      </c>
      <c r="C35" s="261"/>
      <c r="D35" s="223">
        <v>65121</v>
      </c>
      <c r="E35" s="224">
        <f t="shared" si="1"/>
        <v>5426.75</v>
      </c>
      <c r="F35" s="225">
        <f t="shared" si="0"/>
        <v>31.188218390804597</v>
      </c>
      <c r="G35" s="216"/>
      <c r="H35" s="281"/>
      <c r="I35" s="281"/>
      <c r="J35" s="281"/>
      <c r="K35" s="281"/>
      <c r="L35" s="281"/>
      <c r="M35" s="281"/>
      <c r="N35" s="281"/>
      <c r="O35" s="281"/>
      <c r="P35" s="281"/>
      <c r="Q35" s="281"/>
      <c r="R35" s="281"/>
      <c r="S35" s="281"/>
      <c r="T35" s="238"/>
      <c r="U35" s="238"/>
      <c r="V35" s="262"/>
      <c r="W35" s="262"/>
      <c r="X35" s="262"/>
      <c r="Y35" s="262"/>
      <c r="Z35" s="262"/>
      <c r="AA35" s="262"/>
      <c r="AB35" s="262"/>
      <c r="AC35" s="262"/>
      <c r="AD35" s="262"/>
      <c r="AE35" s="262"/>
      <c r="AF35" s="262"/>
      <c r="AG35" s="263"/>
      <c r="AH35" s="281"/>
    </row>
    <row r="36" spans="1:34" s="10" customFormat="1" ht="15.75" x14ac:dyDescent="0.25">
      <c r="A36" s="228" t="s">
        <v>218</v>
      </c>
      <c r="B36" s="234" t="s">
        <v>200</v>
      </c>
      <c r="C36" s="228"/>
      <c r="D36" s="223">
        <v>52379</v>
      </c>
      <c r="E36" s="224">
        <f t="shared" si="1"/>
        <v>4364.916666666667</v>
      </c>
      <c r="F36" s="225">
        <f t="shared" si="0"/>
        <v>25.08572796934866</v>
      </c>
      <c r="G36" s="216"/>
      <c r="T36" s="258"/>
      <c r="U36" s="259"/>
      <c r="V36" s="243"/>
      <c r="W36" s="243"/>
      <c r="X36" s="260"/>
      <c r="Y36" s="260"/>
      <c r="Z36" s="243"/>
      <c r="AA36" s="260"/>
      <c r="AB36" s="260"/>
      <c r="AC36" s="260"/>
      <c r="AD36" s="260"/>
      <c r="AE36" s="220"/>
      <c r="AF36" s="220"/>
      <c r="AG36" s="220"/>
      <c r="AH36" s="226"/>
    </row>
    <row r="37" spans="1:34" s="10" customFormat="1" ht="15" x14ac:dyDescent="0.2">
      <c r="A37" s="228" t="s">
        <v>185</v>
      </c>
      <c r="B37" s="234" t="s">
        <v>175</v>
      </c>
      <c r="C37" s="282"/>
      <c r="D37" s="223">
        <v>83279</v>
      </c>
      <c r="E37" s="224">
        <f>D37/9</f>
        <v>9253.2222222222226</v>
      </c>
      <c r="F37" s="225">
        <f t="shared" si="0"/>
        <v>53.179438058748403</v>
      </c>
      <c r="G37" s="216"/>
      <c r="H37" s="226"/>
      <c r="I37" s="226"/>
      <c r="J37" s="226"/>
      <c r="K37" s="226"/>
      <c r="L37" s="226"/>
      <c r="M37" s="226"/>
      <c r="N37" s="226"/>
      <c r="O37" s="226"/>
      <c r="P37" s="226"/>
      <c r="Q37" s="226"/>
      <c r="R37" s="226"/>
      <c r="S37" s="226"/>
      <c r="T37" s="214"/>
      <c r="U37" s="220"/>
      <c r="V37" s="214"/>
      <c r="W37" s="220"/>
      <c r="X37" s="264"/>
      <c r="Y37" s="264"/>
      <c r="Z37" s="264"/>
      <c r="AA37" s="264"/>
      <c r="AB37" s="264"/>
      <c r="AC37" s="265"/>
      <c r="AD37" s="264"/>
      <c r="AE37" s="220"/>
      <c r="AF37" s="220"/>
      <c r="AG37" s="220"/>
      <c r="AH37" s="226"/>
    </row>
    <row r="38" spans="1:34" s="10" customFormat="1" ht="15" x14ac:dyDescent="0.2">
      <c r="A38" s="228" t="s">
        <v>245</v>
      </c>
      <c r="B38" s="234" t="s">
        <v>175</v>
      </c>
      <c r="C38" s="282"/>
      <c r="D38" s="223">
        <v>107000</v>
      </c>
      <c r="E38" s="224">
        <f>D38/9</f>
        <v>11888.888888888889</v>
      </c>
      <c r="F38" s="225">
        <f t="shared" si="0"/>
        <v>68.326947637292463</v>
      </c>
      <c r="G38" s="21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226"/>
      <c r="S38" s="226"/>
      <c r="T38" s="214"/>
      <c r="U38" s="220"/>
      <c r="V38" s="214"/>
      <c r="W38" s="220"/>
      <c r="X38" s="264"/>
      <c r="Y38" s="264"/>
      <c r="Z38" s="264"/>
      <c r="AA38" s="264"/>
      <c r="AB38" s="264"/>
      <c r="AC38" s="265"/>
      <c r="AD38" s="264"/>
      <c r="AE38" s="220"/>
      <c r="AF38" s="220"/>
      <c r="AG38" s="220"/>
      <c r="AH38" s="226"/>
    </row>
    <row r="39" spans="1:34" s="10" customFormat="1" ht="15" x14ac:dyDescent="0.2">
      <c r="A39" s="228" t="s">
        <v>186</v>
      </c>
      <c r="B39" s="234" t="s">
        <v>175</v>
      </c>
      <c r="C39" s="228"/>
      <c r="D39" s="223">
        <v>131291</v>
      </c>
      <c r="E39" s="224">
        <f>D39/9</f>
        <v>14587.888888888889</v>
      </c>
      <c r="F39" s="225">
        <f t="shared" si="0"/>
        <v>83.838441890166024</v>
      </c>
      <c r="G39" s="216"/>
      <c r="T39" s="235"/>
      <c r="U39" s="220"/>
      <c r="V39" s="214"/>
      <c r="W39" s="266"/>
      <c r="X39" s="264"/>
      <c r="Y39" s="266"/>
      <c r="Z39" s="266"/>
      <c r="AA39" s="266"/>
      <c r="AB39" s="266"/>
      <c r="AC39" s="266"/>
      <c r="AD39" s="264"/>
      <c r="AE39" s="220"/>
      <c r="AF39" s="220"/>
      <c r="AG39" s="220"/>
      <c r="AH39" s="226"/>
    </row>
    <row r="40" spans="1:34" s="10" customFormat="1" ht="15" x14ac:dyDescent="0.2">
      <c r="A40" s="228" t="s">
        <v>219</v>
      </c>
      <c r="B40" s="234" t="s">
        <v>200</v>
      </c>
      <c r="C40" s="228"/>
      <c r="D40" s="223">
        <v>37794</v>
      </c>
      <c r="E40" s="224">
        <f>D40/12</f>
        <v>3149.5</v>
      </c>
      <c r="F40" s="225">
        <f t="shared" si="0"/>
        <v>18.100574712643677</v>
      </c>
      <c r="G40" s="216"/>
      <c r="T40" s="235"/>
      <c r="U40" s="220"/>
      <c r="V40" s="214"/>
      <c r="W40" s="266"/>
      <c r="X40" s="264"/>
      <c r="Y40" s="266"/>
      <c r="Z40" s="266"/>
      <c r="AA40" s="266"/>
      <c r="AB40" s="266"/>
      <c r="AC40" s="266"/>
      <c r="AD40" s="264"/>
      <c r="AE40" s="220"/>
      <c r="AF40" s="220"/>
      <c r="AG40" s="220"/>
      <c r="AH40" s="226"/>
    </row>
    <row r="41" spans="1:34" s="10" customFormat="1" ht="15" x14ac:dyDescent="0.2">
      <c r="A41" s="228" t="s">
        <v>187</v>
      </c>
      <c r="B41" s="234" t="s">
        <v>175</v>
      </c>
      <c r="C41" s="228"/>
      <c r="D41" s="223">
        <v>104837</v>
      </c>
      <c r="E41" s="224">
        <f>D41/9</f>
        <v>11648.555555555555</v>
      </c>
      <c r="F41" s="225">
        <f t="shared" si="0"/>
        <v>66.945721583652613</v>
      </c>
      <c r="G41" s="216"/>
      <c r="T41" s="235"/>
      <c r="U41" s="220"/>
      <c r="V41" s="214"/>
      <c r="W41" s="266"/>
      <c r="X41" s="264"/>
      <c r="Y41" s="266"/>
      <c r="Z41" s="266"/>
      <c r="AA41" s="266"/>
      <c r="AB41" s="266"/>
      <c r="AC41" s="266"/>
      <c r="AD41" s="264"/>
      <c r="AE41" s="220"/>
      <c r="AF41" s="220"/>
      <c r="AG41" s="220"/>
      <c r="AH41" s="226"/>
    </row>
    <row r="42" spans="1:34" s="10" customFormat="1" ht="15" x14ac:dyDescent="0.2">
      <c r="A42" s="228" t="s">
        <v>244</v>
      </c>
      <c r="B42" s="234" t="s">
        <v>175</v>
      </c>
      <c r="C42" s="228"/>
      <c r="D42" s="223">
        <v>99000</v>
      </c>
      <c r="E42" s="224">
        <f>D42/9</f>
        <v>11000</v>
      </c>
      <c r="F42" s="225">
        <f t="shared" si="0"/>
        <v>63.218390804597703</v>
      </c>
      <c r="G42" s="216"/>
      <c r="T42" s="235"/>
      <c r="U42" s="220"/>
      <c r="V42" s="214"/>
      <c r="W42" s="266"/>
      <c r="X42" s="264"/>
      <c r="Y42" s="266"/>
      <c r="Z42" s="266"/>
      <c r="AA42" s="266"/>
      <c r="AB42" s="266"/>
      <c r="AC42" s="266"/>
      <c r="AD42" s="264"/>
      <c r="AE42" s="220"/>
      <c r="AF42" s="220"/>
      <c r="AG42" s="220"/>
      <c r="AH42" s="226"/>
    </row>
    <row r="43" spans="1:34" s="10" customFormat="1" ht="15" x14ac:dyDescent="0.2">
      <c r="A43" s="228" t="s">
        <v>220</v>
      </c>
      <c r="B43" s="234" t="s">
        <v>175</v>
      </c>
      <c r="C43" s="228"/>
      <c r="D43" s="223">
        <v>112500</v>
      </c>
      <c r="E43" s="224">
        <f>D43/9</f>
        <v>12500</v>
      </c>
      <c r="F43" s="225">
        <f t="shared" si="0"/>
        <v>71.839080459770116</v>
      </c>
      <c r="G43" s="216"/>
      <c r="T43" s="235"/>
      <c r="U43" s="220"/>
      <c r="V43" s="214"/>
      <c r="W43" s="266"/>
      <c r="X43" s="264"/>
      <c r="Y43" s="266"/>
      <c r="Z43" s="266"/>
      <c r="AA43" s="266"/>
      <c r="AB43" s="266"/>
      <c r="AC43" s="266"/>
      <c r="AD43" s="264"/>
      <c r="AE43" s="220"/>
      <c r="AF43" s="220"/>
      <c r="AG43" s="220"/>
      <c r="AH43" s="226"/>
    </row>
    <row r="44" spans="1:34" s="10" customFormat="1" ht="15" x14ac:dyDescent="0.2">
      <c r="A44" s="228" t="s">
        <v>188</v>
      </c>
      <c r="B44" s="234" t="s">
        <v>175</v>
      </c>
      <c r="C44" s="228"/>
      <c r="D44" s="223">
        <v>159367</v>
      </c>
      <c r="E44" s="224">
        <f>D44/9</f>
        <v>17707.444444444445</v>
      </c>
      <c r="F44" s="225">
        <f t="shared" si="0"/>
        <v>101.7669220945083</v>
      </c>
      <c r="G44" s="216"/>
      <c r="T44" s="235"/>
      <c r="U44" s="220"/>
      <c r="V44" s="214"/>
      <c r="W44" s="266"/>
      <c r="X44" s="264"/>
      <c r="Y44" s="266"/>
      <c r="Z44" s="266"/>
      <c r="AA44" s="266"/>
      <c r="AB44" s="266"/>
      <c r="AC44" s="266"/>
      <c r="AD44" s="264"/>
      <c r="AE44" s="220"/>
      <c r="AF44" s="220"/>
      <c r="AG44" s="220"/>
      <c r="AH44" s="226"/>
    </row>
    <row r="45" spans="1:34" s="10" customFormat="1" ht="15" x14ac:dyDescent="0.2">
      <c r="A45" s="228" t="s">
        <v>221</v>
      </c>
      <c r="B45" s="234" t="s">
        <v>200</v>
      </c>
      <c r="C45" s="228"/>
      <c r="D45" s="223">
        <v>87578</v>
      </c>
      <c r="E45" s="224">
        <f>D45/12</f>
        <v>7298.166666666667</v>
      </c>
      <c r="F45" s="225">
        <f t="shared" si="0"/>
        <v>41.943486590038319</v>
      </c>
      <c r="G45" s="216"/>
      <c r="T45" s="235"/>
      <c r="U45" s="220"/>
      <c r="V45" s="214"/>
      <c r="W45" s="266"/>
      <c r="X45" s="264"/>
      <c r="Y45" s="266"/>
      <c r="Z45" s="266"/>
      <c r="AA45" s="266"/>
      <c r="AB45" s="266"/>
      <c r="AC45" s="266"/>
      <c r="AD45" s="264"/>
      <c r="AE45" s="220"/>
      <c r="AF45" s="220"/>
      <c r="AG45" s="220"/>
      <c r="AH45" s="226"/>
    </row>
    <row r="46" spans="1:34" s="10" customFormat="1" ht="15" x14ac:dyDescent="0.2">
      <c r="A46" s="228" t="s">
        <v>237</v>
      </c>
      <c r="B46" s="234" t="s">
        <v>200</v>
      </c>
      <c r="C46" s="228"/>
      <c r="D46" s="223">
        <v>70000</v>
      </c>
      <c r="E46" s="224">
        <f>D46/12</f>
        <v>5833.333333333333</v>
      </c>
      <c r="F46" s="225">
        <f t="shared" si="0"/>
        <v>33.524904214559385</v>
      </c>
      <c r="G46" s="216"/>
      <c r="T46" s="235"/>
      <c r="U46" s="220"/>
      <c r="V46" s="214"/>
      <c r="W46" s="266"/>
      <c r="X46" s="264"/>
      <c r="Y46" s="266"/>
      <c r="Z46" s="266"/>
      <c r="AA46" s="266"/>
      <c r="AB46" s="266"/>
      <c r="AC46" s="266"/>
      <c r="AD46" s="264"/>
      <c r="AE46" s="220"/>
      <c r="AF46" s="220"/>
      <c r="AG46" s="220"/>
      <c r="AH46" s="226"/>
    </row>
    <row r="47" spans="1:34" s="10" customFormat="1" ht="15" x14ac:dyDescent="0.2">
      <c r="A47" s="228" t="s">
        <v>222</v>
      </c>
      <c r="B47" s="234" t="s">
        <v>200</v>
      </c>
      <c r="C47" s="228"/>
      <c r="D47" s="223">
        <v>143498</v>
      </c>
      <c r="E47" s="224">
        <f>D47/12</f>
        <v>11958.166666666666</v>
      </c>
      <c r="F47" s="225">
        <f t="shared" si="0"/>
        <v>68.725095785440615</v>
      </c>
      <c r="G47" s="216"/>
      <c r="T47" s="235"/>
      <c r="U47" s="220"/>
      <c r="V47" s="235"/>
      <c r="W47" s="267"/>
      <c r="X47" s="235"/>
      <c r="Y47" s="235"/>
      <c r="Z47" s="235"/>
      <c r="AA47" s="235"/>
      <c r="AB47" s="235"/>
      <c r="AC47" s="235"/>
      <c r="AD47" s="253"/>
      <c r="AE47" s="235"/>
      <c r="AF47" s="235"/>
      <c r="AG47" s="235"/>
    </row>
    <row r="48" spans="1:34" s="10" customFormat="1" ht="15" x14ac:dyDescent="0.2">
      <c r="A48" s="228" t="s">
        <v>223</v>
      </c>
      <c r="B48" s="234" t="s">
        <v>200</v>
      </c>
      <c r="C48" s="228"/>
      <c r="D48" s="223">
        <v>52617</v>
      </c>
      <c r="E48" s="224">
        <f>D48/12</f>
        <v>4384.75</v>
      </c>
      <c r="F48" s="225">
        <f t="shared" si="0"/>
        <v>25.199712643678161</v>
      </c>
      <c r="G48" s="216"/>
      <c r="T48" s="235"/>
      <c r="U48" s="220"/>
      <c r="V48" s="214"/>
      <c r="W48" s="266"/>
      <c r="X48" s="264"/>
      <c r="Y48" s="266"/>
      <c r="Z48" s="266"/>
      <c r="AA48" s="266"/>
      <c r="AB48" s="266"/>
      <c r="AC48" s="266"/>
      <c r="AD48" s="264"/>
      <c r="AE48" s="220"/>
      <c r="AF48" s="220"/>
      <c r="AG48" s="220"/>
      <c r="AH48" s="226"/>
    </row>
    <row r="49" spans="1:34" s="10" customFormat="1" x14ac:dyDescent="0.2">
      <c r="A49" s="221" t="s">
        <v>189</v>
      </c>
      <c r="B49" s="234" t="s">
        <v>175</v>
      </c>
      <c r="C49" s="240"/>
      <c r="D49" s="223">
        <v>88253</v>
      </c>
      <c r="E49" s="224">
        <f>D49/9</f>
        <v>9805.8888888888887</v>
      </c>
      <c r="F49" s="225">
        <f t="shared" si="0"/>
        <v>56.355683269476373</v>
      </c>
      <c r="G49" s="216"/>
    </row>
    <row r="50" spans="1:34" s="10" customFormat="1" ht="14.25" x14ac:dyDescent="0.2">
      <c r="A50" s="242" t="s">
        <v>190</v>
      </c>
      <c r="B50" s="234" t="s">
        <v>175</v>
      </c>
      <c r="C50" s="228"/>
      <c r="D50" s="223">
        <v>65823</v>
      </c>
      <c r="E50" s="224">
        <f>D50/9</f>
        <v>7313.666666666667</v>
      </c>
      <c r="F50" s="225">
        <f t="shared" si="0"/>
        <v>42.032567049808428</v>
      </c>
      <c r="G50" s="216"/>
      <c r="H50" s="226"/>
      <c r="I50" s="226"/>
      <c r="J50" s="226"/>
      <c r="K50" s="226"/>
      <c r="L50" s="226"/>
      <c r="M50" s="226"/>
      <c r="N50" s="226"/>
      <c r="O50" s="226"/>
      <c r="P50" s="226"/>
      <c r="Q50" s="226"/>
      <c r="R50" s="226"/>
      <c r="S50" s="226"/>
      <c r="T50" s="268"/>
      <c r="U50" s="268"/>
      <c r="V50" s="214"/>
      <c r="W50" s="214"/>
      <c r="X50" s="214"/>
      <c r="Y50" s="214"/>
      <c r="Z50" s="214"/>
      <c r="AA50" s="214"/>
      <c r="AB50" s="214"/>
      <c r="AC50" s="214"/>
      <c r="AD50" s="252"/>
      <c r="AE50" s="214"/>
      <c r="AF50" s="214"/>
      <c r="AG50" s="214"/>
    </row>
    <row r="51" spans="1:34" s="10" customFormat="1" ht="15" x14ac:dyDescent="0.2">
      <c r="A51" s="228" t="s">
        <v>198</v>
      </c>
      <c r="B51" s="234" t="s">
        <v>197</v>
      </c>
      <c r="C51" s="228"/>
      <c r="D51" s="223">
        <v>46583</v>
      </c>
      <c r="E51" s="224">
        <f>D51/12</f>
        <v>3881.9166666666665</v>
      </c>
      <c r="F51" s="225">
        <f t="shared" si="0"/>
        <v>22.309865900383141</v>
      </c>
      <c r="G51" s="216"/>
      <c r="T51" s="235"/>
      <c r="U51" s="283"/>
      <c r="V51" s="235"/>
      <c r="W51" s="284"/>
      <c r="X51" s="235"/>
      <c r="Y51" s="235"/>
      <c r="Z51" s="235"/>
      <c r="AA51" s="235"/>
      <c r="AB51" s="235"/>
      <c r="AC51" s="235"/>
      <c r="AD51" s="253"/>
      <c r="AE51" s="235"/>
      <c r="AF51" s="235"/>
      <c r="AG51" s="235"/>
    </row>
    <row r="52" spans="1:34" s="10" customFormat="1" ht="15" x14ac:dyDescent="0.25">
      <c r="A52" s="228" t="s">
        <v>191</v>
      </c>
      <c r="B52" s="234" t="s">
        <v>175</v>
      </c>
      <c r="C52" s="228"/>
      <c r="D52" s="223">
        <v>112970</v>
      </c>
      <c r="E52" s="224">
        <f>D52/9</f>
        <v>12552.222222222223</v>
      </c>
      <c r="F52" s="225">
        <f t="shared" si="0"/>
        <v>72.139208173690932</v>
      </c>
      <c r="G52" s="216"/>
      <c r="H52" s="226"/>
      <c r="I52" s="226"/>
      <c r="J52" s="226"/>
      <c r="K52" s="226"/>
      <c r="L52" s="226"/>
      <c r="M52" s="226"/>
      <c r="N52" s="226"/>
      <c r="O52" s="226"/>
      <c r="P52" s="226"/>
      <c r="Q52" s="226"/>
      <c r="R52" s="226"/>
      <c r="S52" s="226"/>
      <c r="T52" s="258"/>
      <c r="U52" s="214"/>
      <c r="V52" s="214"/>
      <c r="W52" s="214"/>
      <c r="X52" s="214"/>
      <c r="Y52" s="214"/>
      <c r="Z52" s="214"/>
      <c r="AA52" s="214"/>
      <c r="AB52" s="214"/>
      <c r="AC52" s="214"/>
      <c r="AD52" s="252"/>
      <c r="AE52" s="214"/>
      <c r="AF52" s="214"/>
      <c r="AG52" s="214"/>
      <c r="AH52" s="226"/>
    </row>
    <row r="53" spans="1:34" s="10" customFormat="1" x14ac:dyDescent="0.2">
      <c r="A53" s="221" t="s">
        <v>238</v>
      </c>
      <c r="B53" s="234" t="s">
        <v>242</v>
      </c>
      <c r="C53" s="241"/>
      <c r="D53" s="223">
        <v>50000</v>
      </c>
      <c r="E53" s="224">
        <f>D53/12</f>
        <v>4166.666666666667</v>
      </c>
      <c r="F53" s="225">
        <f t="shared" si="0"/>
        <v>23.946360153256705</v>
      </c>
      <c r="G53" s="269"/>
      <c r="T53" s="235"/>
      <c r="U53" s="235"/>
      <c r="V53" s="235"/>
      <c r="W53" s="235"/>
      <c r="X53" s="235"/>
      <c r="Y53" s="235"/>
      <c r="Z53" s="235"/>
      <c r="AA53" s="235"/>
      <c r="AB53" s="235"/>
      <c r="AC53" s="235"/>
      <c r="AD53" s="235"/>
      <c r="AE53" s="235"/>
      <c r="AF53" s="235"/>
      <c r="AG53" s="235"/>
    </row>
    <row r="54" spans="1:34" s="10" customFormat="1" x14ac:dyDescent="0.2">
      <c r="A54" s="228" t="s">
        <v>192</v>
      </c>
      <c r="B54" s="234" t="s">
        <v>175</v>
      </c>
      <c r="C54" s="228"/>
      <c r="D54" s="223">
        <v>120318</v>
      </c>
      <c r="E54" s="224">
        <f>D54/9</f>
        <v>13368.666666666666</v>
      </c>
      <c r="F54" s="225">
        <f t="shared" si="0"/>
        <v>76.831417624521066</v>
      </c>
      <c r="G54" s="216"/>
      <c r="T54" s="235"/>
      <c r="U54" s="235"/>
      <c r="V54" s="235"/>
      <c r="W54" s="267"/>
      <c r="X54" s="235"/>
      <c r="Y54" s="235"/>
      <c r="Z54" s="235"/>
      <c r="AA54" s="235"/>
      <c r="AB54" s="235"/>
      <c r="AC54" s="235"/>
      <c r="AD54" s="253"/>
      <c r="AE54" s="235"/>
      <c r="AF54" s="235"/>
      <c r="AG54" s="235"/>
    </row>
    <row r="55" spans="1:34" s="10" customFormat="1" x14ac:dyDescent="0.2">
      <c r="A55" s="221" t="s">
        <v>224</v>
      </c>
      <c r="B55" s="227" t="s">
        <v>200</v>
      </c>
      <c r="C55" s="278"/>
      <c r="D55" s="223">
        <v>108234</v>
      </c>
      <c r="E55" s="224">
        <f>D55/12</f>
        <v>9019.5</v>
      </c>
      <c r="F55" s="225">
        <f t="shared" si="0"/>
        <v>51.836206896551722</v>
      </c>
      <c r="G55" s="269"/>
      <c r="T55" s="235"/>
      <c r="U55" s="235"/>
      <c r="V55" s="235"/>
      <c r="W55" s="235"/>
      <c r="X55" s="235"/>
      <c r="Y55" s="235"/>
      <c r="Z55" s="235"/>
      <c r="AA55" s="235"/>
      <c r="AB55" s="235"/>
      <c r="AC55" s="235"/>
      <c r="AD55" s="235"/>
      <c r="AE55" s="235"/>
      <c r="AF55" s="235"/>
      <c r="AG55" s="235"/>
    </row>
    <row r="56" spans="1:34" s="10" customFormat="1" x14ac:dyDescent="0.2">
      <c r="A56" s="242" t="s">
        <v>193</v>
      </c>
      <c r="B56" s="234" t="s">
        <v>175</v>
      </c>
      <c r="C56" s="228"/>
      <c r="D56" s="223">
        <v>113374</v>
      </c>
      <c r="E56" s="224">
        <f>D56/9</f>
        <v>12597.111111111111</v>
      </c>
      <c r="F56" s="225">
        <f t="shared" si="0"/>
        <v>72.397190293742014</v>
      </c>
      <c r="G56" s="216"/>
      <c r="H56" s="226"/>
      <c r="I56" s="226"/>
      <c r="J56" s="226"/>
      <c r="K56" s="226"/>
      <c r="L56" s="226"/>
      <c r="M56" s="226"/>
      <c r="N56" s="226"/>
      <c r="O56" s="226"/>
      <c r="P56" s="226"/>
      <c r="Q56" s="226"/>
      <c r="R56" s="226"/>
      <c r="S56" s="226"/>
      <c r="T56" s="214"/>
      <c r="U56" s="214"/>
      <c r="V56" s="214"/>
      <c r="W56" s="252"/>
      <c r="X56" s="214"/>
      <c r="Y56" s="214"/>
      <c r="Z56" s="214"/>
      <c r="AA56" s="214"/>
      <c r="AB56" s="214"/>
      <c r="AC56" s="214"/>
      <c r="AD56" s="252"/>
      <c r="AE56" s="214"/>
      <c r="AF56" s="214"/>
      <c r="AG56" s="214"/>
    </row>
    <row r="57" spans="1:34" s="10" customFormat="1" x14ac:dyDescent="0.2">
      <c r="A57" s="221" t="s">
        <v>225</v>
      </c>
      <c r="B57" s="234" t="s">
        <v>200</v>
      </c>
      <c r="C57" s="240"/>
      <c r="D57" s="223">
        <v>87805</v>
      </c>
      <c r="E57" s="224">
        <f>D57/12</f>
        <v>7317.083333333333</v>
      </c>
      <c r="F57" s="225">
        <f t="shared" si="0"/>
        <v>42.052203065134101</v>
      </c>
      <c r="G57" s="216"/>
    </row>
    <row r="58" spans="1:34" x14ac:dyDescent="0.2">
      <c r="A58" s="10"/>
      <c r="B58" s="10"/>
      <c r="C58" s="10"/>
      <c r="D58" s="223"/>
      <c r="E58" s="270"/>
      <c r="F58" s="216"/>
      <c r="G58" s="216"/>
    </row>
    <row r="59" spans="1:34" x14ac:dyDescent="0.2">
      <c r="C59" s="271"/>
      <c r="D59" s="286"/>
      <c r="E59" s="214"/>
    </row>
    <row r="60" spans="1:34" x14ac:dyDescent="0.2">
      <c r="C60" s="271"/>
      <c r="D60" s="286"/>
      <c r="E60" s="235"/>
    </row>
  </sheetData>
  <mergeCells count="1">
    <mergeCell ref="D59:D6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indexed="34"/>
    <pageSetUpPr fitToPage="1"/>
  </sheetPr>
  <dimension ref="A1:U124"/>
  <sheetViews>
    <sheetView tabSelected="1" zoomScale="80" zoomScaleNormal="80" workbookViewId="0">
      <pane ySplit="1" topLeftCell="A2" activePane="bottomLeft" state="frozen"/>
      <selection pane="bottomLeft" activeCell="AB12" sqref="AB12"/>
    </sheetView>
  </sheetViews>
  <sheetFormatPr defaultRowHeight="12.75" x14ac:dyDescent="0.2"/>
  <cols>
    <col min="1" max="1" width="5" style="98" customWidth="1"/>
    <col min="2" max="2" width="3.140625" style="98" customWidth="1"/>
    <col min="3" max="3" width="27.42578125" style="98" customWidth="1"/>
    <col min="4" max="4" width="11.42578125" style="98" customWidth="1"/>
    <col min="5" max="5" width="16" style="98" customWidth="1"/>
    <col min="6" max="6" width="9.140625" style="98" customWidth="1"/>
    <col min="7" max="7" width="16.42578125" style="98" customWidth="1"/>
    <col min="8" max="9" width="14.85546875" style="98" hidden="1" customWidth="1"/>
    <col min="10" max="15" width="15" style="98" hidden="1" customWidth="1"/>
    <col min="16" max="17" width="14.85546875" style="98" hidden="1" customWidth="1"/>
    <col min="18" max="20" width="15.5703125" style="98" customWidth="1"/>
    <col min="21" max="21" width="11.28515625" style="1" bestFit="1" customWidth="1"/>
  </cols>
  <sheetData>
    <row r="1" spans="1:21" ht="18" x14ac:dyDescent="0.25">
      <c r="A1" s="144" t="s">
        <v>92</v>
      </c>
      <c r="B1" s="145"/>
      <c r="C1" s="145"/>
      <c r="D1" s="145"/>
      <c r="E1" s="145"/>
      <c r="F1" s="145"/>
      <c r="G1" s="145"/>
      <c r="H1" s="146"/>
      <c r="I1" s="146"/>
      <c r="J1" s="146"/>
      <c r="K1" s="146"/>
      <c r="L1" s="146"/>
      <c r="M1" s="146"/>
      <c r="N1" s="146"/>
      <c r="O1" s="146"/>
      <c r="P1" s="147"/>
      <c r="Q1" s="147"/>
      <c r="R1" s="147"/>
      <c r="S1" s="289" t="s">
        <v>250</v>
      </c>
      <c r="T1" s="290"/>
    </row>
    <row r="2" spans="1:21" ht="18" x14ac:dyDescent="0.25">
      <c r="A2" s="145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7"/>
      <c r="Q2" s="147"/>
      <c r="R2" s="147"/>
      <c r="S2" s="295" t="s">
        <v>249</v>
      </c>
      <c r="T2" s="296"/>
      <c r="U2" s="101"/>
    </row>
    <row r="3" spans="1:21" ht="15.75" x14ac:dyDescent="0.25">
      <c r="A3" s="148" t="s">
        <v>0</v>
      </c>
      <c r="B3" s="148"/>
      <c r="C3" s="148"/>
      <c r="D3" s="148"/>
      <c r="E3" s="148"/>
      <c r="F3" s="148"/>
      <c r="G3" s="148"/>
      <c r="H3" s="147"/>
      <c r="I3" s="147"/>
      <c r="J3" s="147"/>
      <c r="K3" s="147"/>
      <c r="L3" s="147"/>
      <c r="M3" s="147"/>
      <c r="N3" s="147"/>
      <c r="O3" s="147"/>
      <c r="P3" s="147"/>
      <c r="Q3" s="147"/>
      <c r="R3" s="147"/>
      <c r="S3" s="149"/>
      <c r="T3" s="149"/>
    </row>
    <row r="4" spans="1:21" ht="15.75" x14ac:dyDescent="0.25">
      <c r="A4" s="148" t="s">
        <v>1</v>
      </c>
      <c r="B4" s="148"/>
      <c r="C4" s="148"/>
      <c r="D4" s="148"/>
      <c r="E4" s="148"/>
      <c r="F4" s="148"/>
      <c r="G4" s="148"/>
      <c r="H4" s="147"/>
      <c r="I4" s="147"/>
      <c r="J4" s="147"/>
      <c r="K4" s="147"/>
      <c r="L4" s="147"/>
      <c r="M4" s="147"/>
      <c r="N4" s="147"/>
      <c r="O4" s="147"/>
      <c r="P4" s="147"/>
      <c r="Q4" s="147"/>
      <c r="R4" s="147"/>
      <c r="S4" s="149"/>
      <c r="T4" s="149"/>
    </row>
    <row r="5" spans="1:21" ht="15.75" x14ac:dyDescent="0.25">
      <c r="A5" s="148" t="s">
        <v>2</v>
      </c>
      <c r="B5" s="148"/>
      <c r="C5" s="148"/>
      <c r="D5" s="148"/>
      <c r="E5" s="148"/>
      <c r="F5" s="148"/>
      <c r="G5" s="148"/>
      <c r="H5" s="147"/>
      <c r="I5" s="147"/>
      <c r="J5" s="147"/>
      <c r="K5" s="147"/>
      <c r="L5" s="147"/>
      <c r="M5" s="147"/>
      <c r="N5" s="147"/>
      <c r="O5" s="147"/>
      <c r="P5" s="147"/>
      <c r="Q5" s="147"/>
      <c r="R5" s="147"/>
      <c r="S5" s="149"/>
      <c r="T5" s="149"/>
    </row>
    <row r="6" spans="1:21" ht="15.75" x14ac:dyDescent="0.25">
      <c r="A6" s="148" t="s">
        <v>3</v>
      </c>
      <c r="B6" s="148"/>
      <c r="C6" s="148"/>
      <c r="D6" s="148"/>
      <c r="E6" s="148"/>
      <c r="F6" s="148"/>
      <c r="G6" s="148"/>
      <c r="H6" s="147"/>
      <c r="I6" s="147"/>
      <c r="J6" s="147"/>
      <c r="K6" s="147"/>
      <c r="L6" s="147"/>
      <c r="M6" s="147"/>
      <c r="N6" s="147"/>
      <c r="O6" s="147"/>
      <c r="P6" s="147"/>
      <c r="Q6" s="147"/>
      <c r="R6" s="147"/>
      <c r="S6" s="149"/>
      <c r="T6" s="149"/>
    </row>
    <row r="7" spans="1:21" ht="15.75" x14ac:dyDescent="0.25">
      <c r="A7" s="148" t="s">
        <v>4</v>
      </c>
      <c r="B7" s="148"/>
      <c r="C7" s="148"/>
      <c r="D7" s="150"/>
      <c r="E7" s="150"/>
      <c r="F7" s="150"/>
      <c r="G7" s="150"/>
      <c r="H7" s="151"/>
      <c r="I7" s="151"/>
      <c r="J7" s="151"/>
      <c r="K7" s="151"/>
      <c r="L7" s="151"/>
      <c r="M7" s="151"/>
      <c r="N7" s="151"/>
      <c r="O7" s="151"/>
      <c r="P7" s="151"/>
      <c r="Q7" s="151"/>
      <c r="R7" s="151"/>
      <c r="S7" s="152"/>
      <c r="T7" s="152"/>
    </row>
    <row r="8" spans="1:21" ht="8.1" hidden="1" customHeight="1" x14ac:dyDescent="0.2">
      <c r="A8" s="153"/>
      <c r="B8" s="153"/>
      <c r="C8" s="153"/>
      <c r="D8" s="153"/>
      <c r="E8" s="153"/>
      <c r="F8" s="153"/>
      <c r="G8" s="153"/>
      <c r="H8" s="83"/>
      <c r="I8" s="83"/>
      <c r="J8" s="83"/>
      <c r="K8" s="83"/>
      <c r="L8" s="83"/>
      <c r="M8" s="83"/>
      <c r="N8" s="83"/>
      <c r="O8" s="83"/>
      <c r="P8" s="83"/>
      <c r="Q8" s="83"/>
      <c r="R8" s="153"/>
      <c r="S8" s="153"/>
      <c r="T8" s="153"/>
    </row>
    <row r="9" spans="1:21" ht="15.75" customHeight="1" x14ac:dyDescent="0.25">
      <c r="A9" s="154"/>
      <c r="B9" s="154"/>
      <c r="C9" s="154"/>
      <c r="D9" s="154"/>
      <c r="E9" s="154"/>
      <c r="F9" s="147"/>
      <c r="G9" s="147"/>
      <c r="H9" s="291" t="s">
        <v>5</v>
      </c>
      <c r="I9" s="292"/>
      <c r="J9" s="291" t="s">
        <v>40</v>
      </c>
      <c r="K9" s="292"/>
      <c r="L9" s="291" t="s">
        <v>45</v>
      </c>
      <c r="M9" s="292"/>
      <c r="N9" s="291" t="s">
        <v>44</v>
      </c>
      <c r="O9" s="292"/>
      <c r="P9" s="293" t="s">
        <v>43</v>
      </c>
      <c r="Q9" s="294"/>
      <c r="R9" s="287" t="s">
        <v>148</v>
      </c>
      <c r="S9" s="287" t="s">
        <v>100</v>
      </c>
      <c r="T9" s="287" t="s">
        <v>101</v>
      </c>
    </row>
    <row r="10" spans="1:21" ht="24" x14ac:dyDescent="0.2">
      <c r="A10" s="154"/>
      <c r="B10" s="154"/>
      <c r="C10" s="154"/>
      <c r="D10" s="154"/>
      <c r="E10" s="154"/>
      <c r="F10" s="155"/>
      <c r="G10" s="155"/>
      <c r="H10" s="106" t="s">
        <v>98</v>
      </c>
      <c r="I10" s="84" t="s">
        <v>99</v>
      </c>
      <c r="J10" s="106" t="s">
        <v>98</v>
      </c>
      <c r="K10" s="84" t="s">
        <v>99</v>
      </c>
      <c r="L10" s="106" t="s">
        <v>98</v>
      </c>
      <c r="M10" s="84" t="s">
        <v>99</v>
      </c>
      <c r="N10" s="106" t="s">
        <v>98</v>
      </c>
      <c r="O10" s="84" t="s">
        <v>99</v>
      </c>
      <c r="P10" s="106" t="s">
        <v>98</v>
      </c>
      <c r="Q10" s="84" t="s">
        <v>99</v>
      </c>
      <c r="R10" s="288"/>
      <c r="S10" s="288"/>
      <c r="T10" s="288"/>
    </row>
    <row r="11" spans="1:21" ht="15" x14ac:dyDescent="0.2">
      <c r="A11" s="154"/>
      <c r="B11" s="154"/>
      <c r="C11" s="154"/>
      <c r="D11" s="168" t="s">
        <v>6</v>
      </c>
      <c r="E11" s="272" t="s">
        <v>226</v>
      </c>
      <c r="F11" s="157" t="s">
        <v>11</v>
      </c>
      <c r="G11" s="156"/>
      <c r="H11" s="85"/>
      <c r="I11" s="86"/>
      <c r="J11" s="85"/>
      <c r="K11" s="86"/>
      <c r="L11" s="85"/>
      <c r="M11" s="86"/>
      <c r="N11" s="85"/>
      <c r="O11" s="86"/>
      <c r="P11" s="85"/>
      <c r="Q11" s="86"/>
      <c r="R11" s="158"/>
      <c r="S11" s="76"/>
      <c r="T11" s="158"/>
    </row>
    <row r="12" spans="1:21" ht="15.75" x14ac:dyDescent="0.25">
      <c r="A12" s="159" t="s">
        <v>8</v>
      </c>
      <c r="B12" s="160"/>
      <c r="C12" s="161" t="s">
        <v>149</v>
      </c>
      <c r="D12" s="168" t="s">
        <v>9</v>
      </c>
      <c r="E12" s="168" t="s">
        <v>227</v>
      </c>
      <c r="F12" s="156" t="s">
        <v>10</v>
      </c>
      <c r="G12" s="156"/>
      <c r="H12" s="87">
        <f t="shared" ref="H12:Q12" si="0">SUM(H13:H33)</f>
        <v>0</v>
      </c>
      <c r="I12" s="88">
        <f t="shared" si="0"/>
        <v>0</v>
      </c>
      <c r="J12" s="87">
        <f t="shared" si="0"/>
        <v>0</v>
      </c>
      <c r="K12" s="88">
        <f t="shared" si="0"/>
        <v>0</v>
      </c>
      <c r="L12" s="87">
        <f t="shared" si="0"/>
        <v>0</v>
      </c>
      <c r="M12" s="88">
        <f t="shared" si="0"/>
        <v>0</v>
      </c>
      <c r="N12" s="87">
        <f t="shared" si="0"/>
        <v>0</v>
      </c>
      <c r="O12" s="89">
        <f t="shared" si="0"/>
        <v>0</v>
      </c>
      <c r="P12" s="90">
        <f>SUM(P13:P33)</f>
        <v>0</v>
      </c>
      <c r="Q12" s="89">
        <f t="shared" si="0"/>
        <v>0</v>
      </c>
      <c r="R12" s="162">
        <f>SUM(R13:R33)</f>
        <v>0</v>
      </c>
      <c r="S12" s="77">
        <f>SUM(S13:S33)</f>
        <v>0</v>
      </c>
      <c r="T12" s="162">
        <f>SUM(R12+S12)</f>
        <v>0</v>
      </c>
      <c r="U12" s="5"/>
    </row>
    <row r="13" spans="1:21" ht="15.75" x14ac:dyDescent="0.25">
      <c r="A13" s="159"/>
      <c r="B13" s="154"/>
      <c r="C13" s="109" t="s">
        <v>150</v>
      </c>
      <c r="D13" s="97"/>
      <c r="E13" s="102"/>
      <c r="F13" s="102"/>
      <c r="G13" s="102"/>
      <c r="H13" s="103"/>
      <c r="I13" s="81"/>
      <c r="J13" s="103"/>
      <c r="K13" s="81"/>
      <c r="L13" s="103"/>
      <c r="M13" s="81"/>
      <c r="N13" s="103"/>
      <c r="O13" s="82"/>
      <c r="P13" s="104"/>
      <c r="Q13" s="82"/>
      <c r="R13" s="105"/>
      <c r="S13" s="78"/>
      <c r="T13" s="105"/>
    </row>
    <row r="14" spans="1:21" ht="15.75" x14ac:dyDescent="0.25">
      <c r="A14" s="159"/>
      <c r="B14" s="154"/>
      <c r="C14" s="107"/>
      <c r="D14" s="97">
        <v>0</v>
      </c>
      <c r="E14" s="273">
        <v>0</v>
      </c>
      <c r="F14" s="102">
        <v>0</v>
      </c>
      <c r="G14" s="102"/>
      <c r="H14" s="103"/>
      <c r="I14" s="81"/>
      <c r="J14" s="103"/>
      <c r="K14" s="81"/>
      <c r="L14" s="103"/>
      <c r="M14" s="81"/>
      <c r="N14" s="103"/>
      <c r="O14" s="82"/>
      <c r="P14" s="104"/>
      <c r="Q14" s="82"/>
      <c r="R14" s="105">
        <f t="shared" ref="R14:R16" si="1">(D14*E14)*F14</f>
        <v>0</v>
      </c>
      <c r="S14" s="78"/>
      <c r="T14" s="105">
        <f>SUM(R14+S14)</f>
        <v>0</v>
      </c>
    </row>
    <row r="15" spans="1:21" ht="15.75" x14ac:dyDescent="0.25">
      <c r="A15" s="159"/>
      <c r="B15" s="154"/>
      <c r="C15" s="107"/>
      <c r="D15" s="97">
        <v>0</v>
      </c>
      <c r="E15" s="273">
        <v>0</v>
      </c>
      <c r="F15" s="102">
        <v>0</v>
      </c>
      <c r="G15" s="102"/>
      <c r="H15" s="103"/>
      <c r="I15" s="81"/>
      <c r="J15" s="103"/>
      <c r="K15" s="81"/>
      <c r="L15" s="103"/>
      <c r="M15" s="81"/>
      <c r="N15" s="103"/>
      <c r="O15" s="82"/>
      <c r="P15" s="104"/>
      <c r="Q15" s="82"/>
      <c r="R15" s="105">
        <f t="shared" si="1"/>
        <v>0</v>
      </c>
      <c r="S15" s="78"/>
      <c r="T15" s="105">
        <f t="shared" ref="T15:T32" si="2">SUM(R15+S15)</f>
        <v>0</v>
      </c>
    </row>
    <row r="16" spans="1:21" ht="15.75" x14ac:dyDescent="0.25">
      <c r="A16" s="159"/>
      <c r="B16" s="154"/>
      <c r="C16" s="107"/>
      <c r="D16" s="97">
        <v>0</v>
      </c>
      <c r="E16" s="273">
        <v>0</v>
      </c>
      <c r="F16" s="102">
        <v>0</v>
      </c>
      <c r="G16" s="102"/>
      <c r="H16" s="103"/>
      <c r="I16" s="81"/>
      <c r="J16" s="103"/>
      <c r="K16" s="81"/>
      <c r="L16" s="103"/>
      <c r="M16" s="81"/>
      <c r="N16" s="103"/>
      <c r="O16" s="82"/>
      <c r="P16" s="104"/>
      <c r="Q16" s="82"/>
      <c r="R16" s="105">
        <f t="shared" si="1"/>
        <v>0</v>
      </c>
      <c r="S16" s="78"/>
      <c r="T16" s="105">
        <f t="shared" si="2"/>
        <v>0</v>
      </c>
    </row>
    <row r="17" spans="1:21" ht="15.75" x14ac:dyDescent="0.25">
      <c r="A17" s="159"/>
      <c r="B17" s="154"/>
      <c r="C17" s="107"/>
      <c r="D17" s="97">
        <v>0</v>
      </c>
      <c r="E17" s="273">
        <v>0</v>
      </c>
      <c r="F17" s="102">
        <v>0</v>
      </c>
      <c r="G17" s="102"/>
      <c r="H17" s="103"/>
      <c r="I17" s="81"/>
      <c r="J17" s="103"/>
      <c r="K17" s="81"/>
      <c r="L17" s="103"/>
      <c r="M17" s="81"/>
      <c r="N17" s="103"/>
      <c r="O17" s="82"/>
      <c r="P17" s="104"/>
      <c r="Q17" s="82"/>
      <c r="R17" s="105">
        <f>(D17*E17)*F17</f>
        <v>0</v>
      </c>
      <c r="S17" s="78"/>
      <c r="T17" s="105">
        <f>SUM(R17+S17)</f>
        <v>0</v>
      </c>
    </row>
    <row r="18" spans="1:21" ht="15.75" x14ac:dyDescent="0.25">
      <c r="A18" s="159"/>
      <c r="B18" s="154"/>
      <c r="C18" s="109" t="s">
        <v>97</v>
      </c>
      <c r="D18" s="97"/>
      <c r="E18" s="274"/>
      <c r="F18" s="102"/>
      <c r="G18" s="102"/>
      <c r="H18" s="103"/>
      <c r="I18" s="81"/>
      <c r="J18" s="103"/>
      <c r="K18" s="81"/>
      <c r="L18" s="103"/>
      <c r="M18" s="81"/>
      <c r="N18" s="103"/>
      <c r="O18" s="82"/>
      <c r="P18" s="104"/>
      <c r="Q18" s="82"/>
      <c r="R18" s="105"/>
      <c r="S18" s="78"/>
      <c r="T18" s="105"/>
    </row>
    <row r="19" spans="1:21" ht="15.75" x14ac:dyDescent="0.25">
      <c r="A19" s="159"/>
      <c r="B19" s="154"/>
      <c r="C19" s="107"/>
      <c r="D19" s="171">
        <v>0</v>
      </c>
      <c r="E19" s="273">
        <v>0</v>
      </c>
      <c r="F19" s="102">
        <v>0</v>
      </c>
      <c r="G19" s="102"/>
      <c r="H19" s="103"/>
      <c r="I19" s="81"/>
      <c r="J19" s="103"/>
      <c r="K19" s="81"/>
      <c r="L19" s="103"/>
      <c r="M19" s="81"/>
      <c r="N19" s="103"/>
      <c r="O19" s="82"/>
      <c r="P19" s="104"/>
      <c r="Q19" s="82"/>
      <c r="R19" s="105">
        <f>(D19*E19)*F19</f>
        <v>0</v>
      </c>
      <c r="S19" s="78"/>
      <c r="T19" s="105">
        <f>SUM(R19+S19)</f>
        <v>0</v>
      </c>
    </row>
    <row r="20" spans="1:21" ht="15.75" x14ac:dyDescent="0.25">
      <c r="A20" s="159"/>
      <c r="B20" s="154"/>
      <c r="C20" s="107"/>
      <c r="D20" s="171">
        <v>0</v>
      </c>
      <c r="E20" s="273">
        <v>0</v>
      </c>
      <c r="F20" s="102">
        <v>0</v>
      </c>
      <c r="G20" s="102"/>
      <c r="H20" s="103"/>
      <c r="I20" s="81"/>
      <c r="J20" s="103"/>
      <c r="K20" s="81"/>
      <c r="L20" s="103"/>
      <c r="M20" s="81"/>
      <c r="N20" s="103"/>
      <c r="O20" s="82"/>
      <c r="P20" s="104"/>
      <c r="Q20" s="82"/>
      <c r="R20" s="105">
        <f t="shared" ref="R20:R22" si="3">(D20*E20)*F20</f>
        <v>0</v>
      </c>
      <c r="S20" s="78"/>
      <c r="T20" s="105">
        <f>SUM(R20+S20)</f>
        <v>0</v>
      </c>
    </row>
    <row r="21" spans="1:21" ht="15.75" x14ac:dyDescent="0.25">
      <c r="A21" s="159"/>
      <c r="B21" s="154"/>
      <c r="C21" s="107"/>
      <c r="D21" s="171">
        <v>0</v>
      </c>
      <c r="E21" s="273">
        <v>0</v>
      </c>
      <c r="F21" s="102">
        <v>0</v>
      </c>
      <c r="G21" s="102"/>
      <c r="H21" s="103"/>
      <c r="I21" s="81"/>
      <c r="J21" s="103"/>
      <c r="K21" s="81"/>
      <c r="L21" s="103"/>
      <c r="M21" s="81"/>
      <c r="N21" s="103"/>
      <c r="O21" s="82"/>
      <c r="P21" s="104"/>
      <c r="Q21" s="82"/>
      <c r="R21" s="105">
        <f t="shared" si="3"/>
        <v>0</v>
      </c>
      <c r="S21" s="78"/>
      <c r="T21" s="105">
        <f>SUM(R21+S21)</f>
        <v>0</v>
      </c>
    </row>
    <row r="22" spans="1:21" ht="15.75" x14ac:dyDescent="0.25">
      <c r="A22" s="159"/>
      <c r="B22" s="154"/>
      <c r="C22" s="107"/>
      <c r="D22" s="171">
        <v>0</v>
      </c>
      <c r="E22" s="273">
        <v>0</v>
      </c>
      <c r="F22" s="102">
        <v>0</v>
      </c>
      <c r="G22" s="102"/>
      <c r="H22" s="103"/>
      <c r="I22" s="81"/>
      <c r="J22" s="103"/>
      <c r="K22" s="81"/>
      <c r="L22" s="103"/>
      <c r="M22" s="81"/>
      <c r="N22" s="103"/>
      <c r="O22" s="82"/>
      <c r="P22" s="104"/>
      <c r="Q22" s="82"/>
      <c r="R22" s="105">
        <f t="shared" si="3"/>
        <v>0</v>
      </c>
      <c r="S22" s="78"/>
      <c r="T22" s="105">
        <f>SUM(R22+S22)</f>
        <v>0</v>
      </c>
    </row>
    <row r="23" spans="1:21" ht="15.75" x14ac:dyDescent="0.25">
      <c r="A23" s="159"/>
      <c r="B23" s="154"/>
      <c r="C23" s="109" t="s">
        <v>151</v>
      </c>
      <c r="D23" s="171"/>
      <c r="E23" s="274"/>
      <c r="F23" s="102"/>
      <c r="G23" s="102"/>
      <c r="H23" s="103"/>
      <c r="I23" s="81"/>
      <c r="J23" s="103"/>
      <c r="K23" s="81"/>
      <c r="L23" s="103"/>
      <c r="M23" s="81"/>
      <c r="N23" s="103"/>
      <c r="O23" s="82"/>
      <c r="P23" s="104"/>
      <c r="Q23" s="82"/>
      <c r="R23" s="105"/>
      <c r="S23" s="78"/>
      <c r="T23" s="105"/>
      <c r="U23" s="75"/>
    </row>
    <row r="24" spans="1:21" ht="15.75" x14ac:dyDescent="0.25">
      <c r="A24" s="159"/>
      <c r="B24" s="154"/>
      <c r="C24" s="107"/>
      <c r="D24" s="171">
        <v>0</v>
      </c>
      <c r="E24" s="273">
        <v>0</v>
      </c>
      <c r="F24" s="102">
        <v>0</v>
      </c>
      <c r="G24" s="102"/>
      <c r="H24" s="103"/>
      <c r="I24" s="81"/>
      <c r="J24" s="103"/>
      <c r="K24" s="81"/>
      <c r="L24" s="103"/>
      <c r="M24" s="81"/>
      <c r="N24" s="103"/>
      <c r="O24" s="82"/>
      <c r="P24" s="104"/>
      <c r="Q24" s="82"/>
      <c r="R24" s="105">
        <f>(D24*E24)*F24</f>
        <v>0</v>
      </c>
      <c r="S24" s="78"/>
      <c r="T24" s="105">
        <f t="shared" si="2"/>
        <v>0</v>
      </c>
    </row>
    <row r="25" spans="1:21" ht="15.75" x14ac:dyDescent="0.25">
      <c r="A25" s="159"/>
      <c r="B25" s="154"/>
      <c r="C25" s="107"/>
      <c r="D25" s="171">
        <v>0</v>
      </c>
      <c r="E25" s="273">
        <v>0</v>
      </c>
      <c r="F25" s="102">
        <v>0</v>
      </c>
      <c r="G25" s="102"/>
      <c r="H25" s="103"/>
      <c r="I25" s="81"/>
      <c r="J25" s="103"/>
      <c r="K25" s="81"/>
      <c r="L25" s="103"/>
      <c r="M25" s="81"/>
      <c r="N25" s="103"/>
      <c r="O25" s="82"/>
      <c r="P25" s="104"/>
      <c r="Q25" s="82"/>
      <c r="R25" s="105">
        <f t="shared" ref="R25:R27" si="4">(D25*E25)*F25</f>
        <v>0</v>
      </c>
      <c r="S25" s="78"/>
      <c r="T25" s="105">
        <f t="shared" si="2"/>
        <v>0</v>
      </c>
    </row>
    <row r="26" spans="1:21" ht="15.75" x14ac:dyDescent="0.25">
      <c r="A26" s="159"/>
      <c r="B26" s="154"/>
      <c r="C26" s="107"/>
      <c r="D26" s="171">
        <v>0</v>
      </c>
      <c r="E26" s="273">
        <v>0</v>
      </c>
      <c r="F26" s="102">
        <v>0</v>
      </c>
      <c r="G26" s="102"/>
      <c r="H26" s="103"/>
      <c r="I26" s="81"/>
      <c r="J26" s="103"/>
      <c r="K26" s="81"/>
      <c r="L26" s="103"/>
      <c r="M26" s="81"/>
      <c r="N26" s="103"/>
      <c r="O26" s="82"/>
      <c r="P26" s="104"/>
      <c r="Q26" s="82"/>
      <c r="R26" s="105">
        <f t="shared" si="4"/>
        <v>0</v>
      </c>
      <c r="S26" s="78"/>
      <c r="T26" s="105">
        <f t="shared" si="2"/>
        <v>0</v>
      </c>
    </row>
    <row r="27" spans="1:21" ht="15.75" x14ac:dyDescent="0.25">
      <c r="A27" s="159"/>
      <c r="B27" s="154"/>
      <c r="C27" s="107"/>
      <c r="D27" s="171">
        <v>0</v>
      </c>
      <c r="E27" s="273">
        <v>0</v>
      </c>
      <c r="F27" s="102">
        <v>0</v>
      </c>
      <c r="G27" s="102"/>
      <c r="H27" s="103"/>
      <c r="I27" s="81"/>
      <c r="J27" s="103"/>
      <c r="K27" s="81"/>
      <c r="L27" s="103"/>
      <c r="M27" s="81"/>
      <c r="N27" s="103"/>
      <c r="O27" s="82"/>
      <c r="P27" s="104"/>
      <c r="Q27" s="82"/>
      <c r="R27" s="105">
        <f t="shared" si="4"/>
        <v>0</v>
      </c>
      <c r="S27" s="78"/>
      <c r="T27" s="105">
        <f t="shared" si="2"/>
        <v>0</v>
      </c>
    </row>
    <row r="28" spans="1:21" ht="15.75" x14ac:dyDescent="0.25">
      <c r="A28" s="159"/>
      <c r="B28" s="154"/>
      <c r="C28" s="109" t="s">
        <v>152</v>
      </c>
      <c r="D28" s="97"/>
      <c r="E28" s="274"/>
      <c r="F28" s="102"/>
      <c r="G28" s="102"/>
      <c r="H28" s="103"/>
      <c r="I28" s="81"/>
      <c r="J28" s="103"/>
      <c r="K28" s="81"/>
      <c r="L28" s="103"/>
      <c r="M28" s="81"/>
      <c r="N28" s="103"/>
      <c r="O28" s="82"/>
      <c r="P28" s="104"/>
      <c r="Q28" s="82"/>
      <c r="R28" s="105"/>
      <c r="S28" s="78"/>
      <c r="T28" s="105"/>
    </row>
    <row r="29" spans="1:21" ht="15.75" x14ac:dyDescent="0.25">
      <c r="A29" s="159"/>
      <c r="B29" s="154"/>
      <c r="C29" s="107"/>
      <c r="D29" s="97">
        <v>0</v>
      </c>
      <c r="E29" s="273">
        <v>0</v>
      </c>
      <c r="F29" s="102">
        <v>0</v>
      </c>
      <c r="G29" s="102"/>
      <c r="H29" s="103"/>
      <c r="I29" s="81"/>
      <c r="J29" s="103"/>
      <c r="K29" s="81"/>
      <c r="L29" s="103"/>
      <c r="M29" s="81"/>
      <c r="N29" s="103"/>
      <c r="O29" s="82"/>
      <c r="P29" s="104"/>
      <c r="Q29" s="82"/>
      <c r="R29" s="105">
        <f>(D29*E29)*F29</f>
        <v>0</v>
      </c>
      <c r="S29" s="78"/>
      <c r="T29" s="105">
        <f t="shared" si="2"/>
        <v>0</v>
      </c>
    </row>
    <row r="30" spans="1:21" ht="15.75" x14ac:dyDescent="0.25">
      <c r="A30" s="159"/>
      <c r="B30" s="154"/>
      <c r="C30" s="107"/>
      <c r="D30" s="97">
        <v>0</v>
      </c>
      <c r="E30" s="273">
        <v>0</v>
      </c>
      <c r="F30" s="102">
        <v>0</v>
      </c>
      <c r="G30" s="102"/>
      <c r="H30" s="103"/>
      <c r="I30" s="81"/>
      <c r="J30" s="103"/>
      <c r="K30" s="81"/>
      <c r="L30" s="103"/>
      <c r="M30" s="81"/>
      <c r="N30" s="103"/>
      <c r="O30" s="82"/>
      <c r="P30" s="104"/>
      <c r="Q30" s="82"/>
      <c r="R30" s="105">
        <f t="shared" ref="R30:R32" si="5">(D30*E30)*F30</f>
        <v>0</v>
      </c>
      <c r="S30" s="78"/>
      <c r="T30" s="105">
        <f t="shared" si="2"/>
        <v>0</v>
      </c>
    </row>
    <row r="31" spans="1:21" ht="15.75" x14ac:dyDescent="0.25">
      <c r="A31" s="159"/>
      <c r="B31" s="154"/>
      <c r="C31" s="107"/>
      <c r="D31" s="97">
        <v>0</v>
      </c>
      <c r="E31" s="273">
        <v>0</v>
      </c>
      <c r="F31" s="102">
        <v>0</v>
      </c>
      <c r="G31" s="102"/>
      <c r="H31" s="103"/>
      <c r="I31" s="81"/>
      <c r="J31" s="103"/>
      <c r="K31" s="81"/>
      <c r="L31" s="103"/>
      <c r="M31" s="81"/>
      <c r="N31" s="103"/>
      <c r="O31" s="82"/>
      <c r="P31" s="104"/>
      <c r="Q31" s="82"/>
      <c r="R31" s="105">
        <f t="shared" si="5"/>
        <v>0</v>
      </c>
      <c r="S31" s="78"/>
      <c r="T31" s="105">
        <f t="shared" si="2"/>
        <v>0</v>
      </c>
    </row>
    <row r="32" spans="1:21" ht="15.75" x14ac:dyDescent="0.25">
      <c r="A32" s="159"/>
      <c r="B32" s="154"/>
      <c r="C32" s="107"/>
      <c r="D32" s="97">
        <v>0</v>
      </c>
      <c r="E32" s="273">
        <v>0</v>
      </c>
      <c r="F32" s="102">
        <v>0</v>
      </c>
      <c r="G32" s="102"/>
      <c r="H32" s="103"/>
      <c r="I32" s="81"/>
      <c r="J32" s="103"/>
      <c r="K32" s="81"/>
      <c r="L32" s="103"/>
      <c r="M32" s="81"/>
      <c r="N32" s="103"/>
      <c r="O32" s="82"/>
      <c r="P32" s="104"/>
      <c r="Q32" s="82"/>
      <c r="R32" s="105">
        <f t="shared" si="5"/>
        <v>0</v>
      </c>
      <c r="S32" s="78"/>
      <c r="T32" s="105">
        <f t="shared" si="2"/>
        <v>0</v>
      </c>
    </row>
    <row r="33" spans="1:21" x14ac:dyDescent="0.2">
      <c r="A33" s="154"/>
      <c r="B33" s="154"/>
      <c r="C33" s="107"/>
      <c r="D33" s="97"/>
      <c r="E33" s="102"/>
      <c r="F33" s="102"/>
      <c r="G33" s="102"/>
      <c r="H33" s="103"/>
      <c r="I33" s="81"/>
      <c r="J33" s="103"/>
      <c r="K33" s="81"/>
      <c r="L33" s="103"/>
      <c r="M33" s="81"/>
      <c r="N33" s="103"/>
      <c r="O33" s="82"/>
      <c r="P33" s="104"/>
      <c r="Q33" s="82"/>
      <c r="R33" s="105"/>
      <c r="S33" s="78"/>
      <c r="T33" s="105"/>
      <c r="U33" s="5"/>
    </row>
    <row r="34" spans="1:21" s="10" customFormat="1" ht="33.75" customHeight="1" x14ac:dyDescent="0.2">
      <c r="A34" s="154"/>
      <c r="B34" s="154"/>
      <c r="C34" s="154"/>
      <c r="D34" s="156" t="s">
        <v>9</v>
      </c>
      <c r="E34" s="163" t="s">
        <v>153</v>
      </c>
      <c r="F34" s="164"/>
      <c r="G34" s="156" t="s">
        <v>12</v>
      </c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6"/>
      <c r="S34" s="166"/>
      <c r="T34" s="166"/>
      <c r="U34" s="80"/>
    </row>
    <row r="35" spans="1:21" ht="15.75" x14ac:dyDescent="0.25">
      <c r="A35" s="159" t="s">
        <v>13</v>
      </c>
      <c r="B35" s="160"/>
      <c r="C35" s="161" t="s">
        <v>154</v>
      </c>
      <c r="D35" s="167" t="s">
        <v>155</v>
      </c>
      <c r="E35" s="168" t="s">
        <v>156</v>
      </c>
      <c r="F35" s="164"/>
      <c r="G35" s="156" t="s">
        <v>96</v>
      </c>
      <c r="H35" s="169">
        <f t="shared" ref="H35:Q35" si="6">SUM(H36:H38)</f>
        <v>0</v>
      </c>
      <c r="I35" s="169">
        <f t="shared" si="6"/>
        <v>0</v>
      </c>
      <c r="J35" s="169">
        <f t="shared" si="6"/>
        <v>0</v>
      </c>
      <c r="K35" s="169">
        <f t="shared" si="6"/>
        <v>0</v>
      </c>
      <c r="L35" s="169">
        <f t="shared" si="6"/>
        <v>0</v>
      </c>
      <c r="M35" s="169">
        <f t="shared" si="6"/>
        <v>0</v>
      </c>
      <c r="N35" s="169">
        <f t="shared" si="6"/>
        <v>0</v>
      </c>
      <c r="O35" s="169">
        <f t="shared" si="6"/>
        <v>0</v>
      </c>
      <c r="P35" s="170">
        <f t="shared" si="6"/>
        <v>0</v>
      </c>
      <c r="Q35" s="169">
        <f t="shared" si="6"/>
        <v>0</v>
      </c>
      <c r="R35" s="162">
        <f>SUM(R36:R38)</f>
        <v>0</v>
      </c>
      <c r="S35" s="77">
        <f>SUM(S36:S38)</f>
        <v>0</v>
      </c>
      <c r="T35" s="162">
        <f>SUM(R35+S35)</f>
        <v>0</v>
      </c>
    </row>
    <row r="36" spans="1:21" ht="15.75" x14ac:dyDescent="0.25">
      <c r="A36" s="159"/>
      <c r="B36" s="154"/>
      <c r="C36" s="107" t="s">
        <v>157</v>
      </c>
      <c r="D36" s="97">
        <v>0</v>
      </c>
      <c r="E36" s="102">
        <v>0</v>
      </c>
      <c r="F36" s="107"/>
      <c r="G36" s="102">
        <v>0</v>
      </c>
      <c r="H36" s="103"/>
      <c r="I36" s="81"/>
      <c r="J36" s="103"/>
      <c r="K36" s="81"/>
      <c r="L36" s="103"/>
      <c r="M36" s="81"/>
      <c r="N36" s="103"/>
      <c r="O36" s="82"/>
      <c r="P36" s="104"/>
      <c r="Q36" s="82"/>
      <c r="R36" s="105">
        <f>D36*(E36)*G36</f>
        <v>0</v>
      </c>
      <c r="S36" s="78"/>
      <c r="T36" s="105">
        <f t="shared" ref="T36:T37" si="7">SUM(R36+S36)</f>
        <v>0</v>
      </c>
    </row>
    <row r="37" spans="1:21" ht="15.75" x14ac:dyDescent="0.25">
      <c r="A37" s="159"/>
      <c r="B37" s="154"/>
      <c r="C37" s="107" t="s">
        <v>14</v>
      </c>
      <c r="D37" s="171">
        <v>0</v>
      </c>
      <c r="E37" s="102">
        <v>0</v>
      </c>
      <c r="F37" s="107"/>
      <c r="G37" s="102">
        <v>0</v>
      </c>
      <c r="H37" s="103"/>
      <c r="I37" s="81"/>
      <c r="J37" s="103"/>
      <c r="K37" s="81"/>
      <c r="L37" s="103"/>
      <c r="M37" s="81"/>
      <c r="N37" s="103"/>
      <c r="O37" s="82"/>
      <c r="P37" s="104"/>
      <c r="Q37" s="82"/>
      <c r="R37" s="105">
        <f t="shared" ref="R37:R38" si="8">D37*(E37)*G37</f>
        <v>0</v>
      </c>
      <c r="S37" s="78"/>
      <c r="T37" s="105">
        <f t="shared" si="7"/>
        <v>0</v>
      </c>
    </row>
    <row r="38" spans="1:21" ht="15.75" x14ac:dyDescent="0.25">
      <c r="A38" s="159"/>
      <c r="B38" s="154"/>
      <c r="C38" s="107" t="s">
        <v>158</v>
      </c>
      <c r="D38" s="171">
        <v>0</v>
      </c>
      <c r="E38" s="102">
        <v>0</v>
      </c>
      <c r="F38" s="107"/>
      <c r="G38" s="102">
        <v>0</v>
      </c>
      <c r="H38" s="103"/>
      <c r="I38" s="81"/>
      <c r="J38" s="103"/>
      <c r="K38" s="81"/>
      <c r="L38" s="103"/>
      <c r="M38" s="81"/>
      <c r="N38" s="103"/>
      <c r="O38" s="82"/>
      <c r="P38" s="104"/>
      <c r="Q38" s="82"/>
      <c r="R38" s="105">
        <f t="shared" si="8"/>
        <v>0</v>
      </c>
      <c r="S38" s="78"/>
      <c r="T38" s="105">
        <f>SUM(R38+S38)</f>
        <v>0</v>
      </c>
    </row>
    <row r="39" spans="1:21" x14ac:dyDescent="0.2">
      <c r="A39" s="154"/>
      <c r="B39" s="154"/>
      <c r="C39" s="164"/>
      <c r="D39" s="156"/>
      <c r="E39" s="156"/>
      <c r="F39" s="156"/>
      <c r="G39" s="156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172"/>
      <c r="S39" s="172"/>
      <c r="T39" s="172"/>
      <c r="U39" s="5"/>
    </row>
    <row r="40" spans="1:21" s="73" customFormat="1" ht="15.75" x14ac:dyDescent="0.25">
      <c r="A40" s="173"/>
      <c r="B40" s="173"/>
      <c r="C40" s="147" t="s">
        <v>15</v>
      </c>
      <c r="D40" s="174"/>
      <c r="E40" s="174"/>
      <c r="F40" s="174"/>
      <c r="G40" s="174"/>
      <c r="H40" s="90">
        <f t="shared" ref="H40:Q40" si="9">+H12+H35</f>
        <v>0</v>
      </c>
      <c r="I40" s="120">
        <f t="shared" si="9"/>
        <v>0</v>
      </c>
      <c r="J40" s="121">
        <f t="shared" si="9"/>
        <v>0</v>
      </c>
      <c r="K40" s="120">
        <f t="shared" si="9"/>
        <v>0</v>
      </c>
      <c r="L40" s="121">
        <f t="shared" si="9"/>
        <v>0</v>
      </c>
      <c r="M40" s="120">
        <f t="shared" si="9"/>
        <v>0</v>
      </c>
      <c r="N40" s="121">
        <f t="shared" si="9"/>
        <v>0</v>
      </c>
      <c r="O40" s="120">
        <f t="shared" si="9"/>
        <v>0</v>
      </c>
      <c r="P40" s="121">
        <f>+P12+P35</f>
        <v>0</v>
      </c>
      <c r="Q40" s="120">
        <f t="shared" si="9"/>
        <v>0</v>
      </c>
      <c r="R40" s="175">
        <f>R12+R35</f>
        <v>0</v>
      </c>
      <c r="S40" s="77">
        <f>S12+S35</f>
        <v>0</v>
      </c>
      <c r="T40" s="176">
        <f>SUM(R40+S40)</f>
        <v>0</v>
      </c>
      <c r="U40" s="5"/>
    </row>
    <row r="41" spans="1:21" ht="15" x14ac:dyDescent="0.2">
      <c r="A41" s="154"/>
      <c r="B41" s="154"/>
      <c r="C41" s="154"/>
      <c r="D41" s="156"/>
      <c r="E41" s="156"/>
      <c r="F41" s="156"/>
      <c r="G41" s="156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166"/>
      <c r="S41" s="166"/>
      <c r="T41" s="166"/>
    </row>
    <row r="42" spans="1:21" ht="15.75" x14ac:dyDescent="0.25">
      <c r="A42" s="159" t="s">
        <v>16</v>
      </c>
      <c r="B42" s="160"/>
      <c r="C42" s="161" t="s">
        <v>17</v>
      </c>
      <c r="D42" s="156" t="s">
        <v>18</v>
      </c>
      <c r="E42" s="156"/>
      <c r="F42" s="156"/>
      <c r="G42" s="156"/>
      <c r="H42" s="87">
        <f t="shared" ref="H42:Q42" si="10">SUM(H43:H67)</f>
        <v>0</v>
      </c>
      <c r="I42" s="88">
        <f t="shared" si="10"/>
        <v>0</v>
      </c>
      <c r="J42" s="87">
        <f t="shared" si="10"/>
        <v>0</v>
      </c>
      <c r="K42" s="88">
        <f t="shared" si="10"/>
        <v>0</v>
      </c>
      <c r="L42" s="87">
        <f t="shared" si="10"/>
        <v>0</v>
      </c>
      <c r="M42" s="88">
        <f t="shared" si="10"/>
        <v>0</v>
      </c>
      <c r="N42" s="87">
        <f t="shared" si="10"/>
        <v>0</v>
      </c>
      <c r="O42" s="88">
        <f t="shared" si="10"/>
        <v>0</v>
      </c>
      <c r="P42" s="90">
        <f>SUM(P43:P67)</f>
        <v>0</v>
      </c>
      <c r="Q42" s="88">
        <f t="shared" si="10"/>
        <v>0</v>
      </c>
      <c r="R42" s="162">
        <f>SUM(R43:R67)</f>
        <v>0</v>
      </c>
      <c r="S42" s="77">
        <f>SUM(S43:S67)</f>
        <v>0</v>
      </c>
      <c r="T42" s="162">
        <f>SUM(R42+S42)</f>
        <v>0</v>
      </c>
      <c r="U42" s="5"/>
    </row>
    <row r="43" spans="1:21" ht="15.75" x14ac:dyDescent="0.25">
      <c r="A43" s="159"/>
      <c r="B43" s="154"/>
      <c r="C43" s="109" t="str">
        <f>+C13</f>
        <v>Faculty</v>
      </c>
      <c r="D43" s="143"/>
      <c r="E43" s="143"/>
      <c r="F43" s="102"/>
      <c r="G43" s="102"/>
      <c r="H43" s="103"/>
      <c r="I43" s="81"/>
      <c r="J43" s="103"/>
      <c r="K43" s="81"/>
      <c r="L43" s="103"/>
      <c r="M43" s="81"/>
      <c r="N43" s="103"/>
      <c r="O43" s="82"/>
      <c r="P43" s="104"/>
      <c r="Q43" s="82"/>
      <c r="R43" s="105"/>
      <c r="S43" s="78"/>
      <c r="T43" s="105"/>
      <c r="U43" s="5"/>
    </row>
    <row r="44" spans="1:21" ht="15.75" x14ac:dyDescent="0.25">
      <c r="A44" s="159"/>
      <c r="B44" s="154"/>
      <c r="C44" s="107">
        <f t="shared" ref="C44:C62" si="11">C14</f>
        <v>0</v>
      </c>
      <c r="D44" s="143">
        <v>0.315</v>
      </c>
      <c r="E44" s="143"/>
      <c r="F44" s="102"/>
      <c r="G44" s="102"/>
      <c r="H44" s="103"/>
      <c r="I44" s="81"/>
      <c r="J44" s="103"/>
      <c r="K44" s="81"/>
      <c r="L44" s="103"/>
      <c r="M44" s="81"/>
      <c r="N44" s="103"/>
      <c r="O44" s="82"/>
      <c r="P44" s="104"/>
      <c r="Q44" s="82"/>
      <c r="R44" s="105">
        <f>D44*R14</f>
        <v>0</v>
      </c>
      <c r="S44" s="78"/>
      <c r="T44" s="105">
        <f>SUM(R44+S44)</f>
        <v>0</v>
      </c>
      <c r="U44" s="5"/>
    </row>
    <row r="45" spans="1:21" ht="15.75" x14ac:dyDescent="0.25">
      <c r="A45" s="159"/>
      <c r="B45" s="154"/>
      <c r="C45" s="107">
        <f t="shared" si="11"/>
        <v>0</v>
      </c>
      <c r="D45" s="143">
        <v>0.315</v>
      </c>
      <c r="E45" s="143"/>
      <c r="F45" s="102"/>
      <c r="G45" s="102"/>
      <c r="H45" s="103"/>
      <c r="I45" s="81"/>
      <c r="J45" s="103"/>
      <c r="K45" s="81"/>
      <c r="L45" s="103"/>
      <c r="M45" s="81"/>
      <c r="N45" s="103"/>
      <c r="O45" s="82"/>
      <c r="P45" s="104"/>
      <c r="Q45" s="82"/>
      <c r="R45" s="105">
        <f>D45*R15</f>
        <v>0</v>
      </c>
      <c r="S45" s="78"/>
      <c r="T45" s="105">
        <f t="shared" ref="T45:T47" si="12">SUM(R45+S45)</f>
        <v>0</v>
      </c>
      <c r="U45" s="5"/>
    </row>
    <row r="46" spans="1:21" ht="15.75" x14ac:dyDescent="0.25">
      <c r="A46" s="159"/>
      <c r="B46" s="154"/>
      <c r="C46" s="107">
        <f t="shared" si="11"/>
        <v>0</v>
      </c>
      <c r="D46" s="143">
        <v>0.315</v>
      </c>
      <c r="E46" s="143"/>
      <c r="F46" s="102"/>
      <c r="G46" s="102"/>
      <c r="H46" s="103"/>
      <c r="I46" s="81"/>
      <c r="J46" s="103"/>
      <c r="K46" s="81"/>
      <c r="L46" s="103"/>
      <c r="M46" s="81"/>
      <c r="N46" s="103"/>
      <c r="O46" s="82"/>
      <c r="P46" s="104"/>
      <c r="Q46" s="82"/>
      <c r="R46" s="105">
        <f>D46*R16</f>
        <v>0</v>
      </c>
      <c r="S46" s="78"/>
      <c r="T46" s="105">
        <f t="shared" si="12"/>
        <v>0</v>
      </c>
      <c r="U46" s="5"/>
    </row>
    <row r="47" spans="1:21" ht="15.75" x14ac:dyDescent="0.25">
      <c r="A47" s="159"/>
      <c r="B47" s="154"/>
      <c r="C47" s="107">
        <f t="shared" si="11"/>
        <v>0</v>
      </c>
      <c r="D47" s="143">
        <v>0.315</v>
      </c>
      <c r="E47" s="143"/>
      <c r="F47" s="102"/>
      <c r="G47" s="102"/>
      <c r="H47" s="103"/>
      <c r="I47" s="81"/>
      <c r="J47" s="103"/>
      <c r="K47" s="81"/>
      <c r="L47" s="103"/>
      <c r="M47" s="81"/>
      <c r="N47" s="103"/>
      <c r="O47" s="82"/>
      <c r="P47" s="104"/>
      <c r="Q47" s="82"/>
      <c r="R47" s="105">
        <f>D47*R17</f>
        <v>0</v>
      </c>
      <c r="S47" s="78"/>
      <c r="T47" s="105">
        <f t="shared" si="12"/>
        <v>0</v>
      </c>
      <c r="U47" s="5"/>
    </row>
    <row r="48" spans="1:21" ht="15.75" x14ac:dyDescent="0.25">
      <c r="A48" s="159"/>
      <c r="B48" s="154"/>
      <c r="C48" s="109" t="str">
        <f t="shared" si="11"/>
        <v>P&amp;S</v>
      </c>
      <c r="D48" s="143"/>
      <c r="E48" s="143"/>
      <c r="F48" s="102"/>
      <c r="G48" s="102"/>
      <c r="H48" s="103"/>
      <c r="I48" s="81"/>
      <c r="J48" s="103"/>
      <c r="K48" s="81"/>
      <c r="L48" s="103"/>
      <c r="M48" s="81"/>
      <c r="N48" s="103"/>
      <c r="O48" s="81"/>
      <c r="P48" s="103"/>
      <c r="Q48" s="81"/>
      <c r="R48" s="105"/>
      <c r="S48" s="78"/>
      <c r="T48" s="105"/>
    </row>
    <row r="49" spans="1:21" ht="15.75" x14ac:dyDescent="0.25">
      <c r="A49" s="159"/>
      <c r="B49" s="154"/>
      <c r="C49" s="107">
        <f t="shared" si="11"/>
        <v>0</v>
      </c>
      <c r="D49" s="143">
        <v>0.378</v>
      </c>
      <c r="E49" s="143"/>
      <c r="F49" s="102"/>
      <c r="G49" s="102"/>
      <c r="H49" s="103"/>
      <c r="I49" s="81"/>
      <c r="J49" s="103"/>
      <c r="K49" s="81"/>
      <c r="L49" s="103"/>
      <c r="M49" s="81"/>
      <c r="N49" s="103"/>
      <c r="O49" s="82"/>
      <c r="P49" s="104"/>
      <c r="Q49" s="82"/>
      <c r="R49" s="105">
        <f>D49*R19</f>
        <v>0</v>
      </c>
      <c r="S49" s="78"/>
      <c r="T49" s="105">
        <f t="shared" ref="T49:T57" si="13">SUM(R49+S49)</f>
        <v>0</v>
      </c>
    </row>
    <row r="50" spans="1:21" ht="15.75" x14ac:dyDescent="0.25">
      <c r="A50" s="159"/>
      <c r="B50" s="154"/>
      <c r="C50" s="107">
        <f t="shared" si="11"/>
        <v>0</v>
      </c>
      <c r="D50" s="143">
        <v>0.378</v>
      </c>
      <c r="E50" s="143"/>
      <c r="F50" s="102"/>
      <c r="G50" s="102"/>
      <c r="H50" s="103"/>
      <c r="I50" s="81"/>
      <c r="J50" s="103"/>
      <c r="K50" s="81"/>
      <c r="L50" s="103"/>
      <c r="M50" s="81"/>
      <c r="N50" s="103"/>
      <c r="O50" s="82"/>
      <c r="P50" s="104"/>
      <c r="Q50" s="82"/>
      <c r="R50" s="105">
        <f>D50*R20</f>
        <v>0</v>
      </c>
      <c r="S50" s="78"/>
      <c r="T50" s="105">
        <f t="shared" si="13"/>
        <v>0</v>
      </c>
    </row>
    <row r="51" spans="1:21" ht="15.75" x14ac:dyDescent="0.25">
      <c r="A51" s="159"/>
      <c r="B51" s="154"/>
      <c r="C51" s="107">
        <f t="shared" si="11"/>
        <v>0</v>
      </c>
      <c r="D51" s="143">
        <v>0.378</v>
      </c>
      <c r="E51" s="143"/>
      <c r="F51" s="102"/>
      <c r="G51" s="102"/>
      <c r="H51" s="103"/>
      <c r="I51" s="81"/>
      <c r="J51" s="103"/>
      <c r="K51" s="81"/>
      <c r="L51" s="103"/>
      <c r="M51" s="81"/>
      <c r="N51" s="103"/>
      <c r="O51" s="82"/>
      <c r="P51" s="104"/>
      <c r="Q51" s="82"/>
      <c r="R51" s="105">
        <f>D51*R21</f>
        <v>0</v>
      </c>
      <c r="S51" s="78"/>
      <c r="T51" s="105">
        <f t="shared" si="13"/>
        <v>0</v>
      </c>
    </row>
    <row r="52" spans="1:21" ht="15.75" x14ac:dyDescent="0.25">
      <c r="A52" s="159"/>
      <c r="B52" s="154"/>
      <c r="C52" s="107">
        <f t="shared" si="11"/>
        <v>0</v>
      </c>
      <c r="D52" s="143">
        <v>0.378</v>
      </c>
      <c r="E52" s="143"/>
      <c r="F52" s="102"/>
      <c r="G52" s="102"/>
      <c r="H52" s="103"/>
      <c r="I52" s="81"/>
      <c r="J52" s="103"/>
      <c r="K52" s="81"/>
      <c r="L52" s="103"/>
      <c r="M52" s="81"/>
      <c r="N52" s="103"/>
      <c r="O52" s="82"/>
      <c r="P52" s="104"/>
      <c r="Q52" s="82"/>
      <c r="R52" s="105">
        <f>D52*R22</f>
        <v>0</v>
      </c>
      <c r="S52" s="78"/>
      <c r="T52" s="105">
        <f t="shared" si="13"/>
        <v>0</v>
      </c>
    </row>
    <row r="53" spans="1:21" ht="15.75" x14ac:dyDescent="0.25">
      <c r="A53" s="159"/>
      <c r="B53" s="154"/>
      <c r="C53" s="109" t="str">
        <f t="shared" si="11"/>
        <v>Merit</v>
      </c>
      <c r="D53" s="143"/>
      <c r="E53" s="143"/>
      <c r="F53" s="102"/>
      <c r="G53" s="102"/>
      <c r="H53" s="103"/>
      <c r="I53" s="81"/>
      <c r="J53" s="103"/>
      <c r="K53" s="81"/>
      <c r="L53" s="103"/>
      <c r="M53" s="81"/>
      <c r="N53" s="103"/>
      <c r="O53" s="82"/>
      <c r="P53" s="104"/>
      <c r="Q53" s="82"/>
      <c r="R53" s="105"/>
      <c r="S53" s="78"/>
      <c r="T53" s="105"/>
    </row>
    <row r="54" spans="1:21" ht="15.75" x14ac:dyDescent="0.25">
      <c r="A54" s="159"/>
      <c r="B54" s="154"/>
      <c r="C54" s="107">
        <f t="shared" si="11"/>
        <v>0</v>
      </c>
      <c r="D54" s="143">
        <v>0.51</v>
      </c>
      <c r="E54" s="143"/>
      <c r="F54" s="102"/>
      <c r="G54" s="102"/>
      <c r="H54" s="103"/>
      <c r="I54" s="81"/>
      <c r="J54" s="103"/>
      <c r="K54" s="81"/>
      <c r="L54" s="103"/>
      <c r="M54" s="81"/>
      <c r="N54" s="103"/>
      <c r="O54" s="82"/>
      <c r="P54" s="104"/>
      <c r="Q54" s="82"/>
      <c r="R54" s="105">
        <f>D54*R24</f>
        <v>0</v>
      </c>
      <c r="S54" s="78"/>
      <c r="T54" s="105">
        <f t="shared" si="13"/>
        <v>0</v>
      </c>
    </row>
    <row r="55" spans="1:21" ht="15.75" x14ac:dyDescent="0.25">
      <c r="A55" s="159"/>
      <c r="B55" s="154"/>
      <c r="C55" s="107">
        <f t="shared" si="11"/>
        <v>0</v>
      </c>
      <c r="D55" s="143">
        <v>0.51</v>
      </c>
      <c r="E55" s="143"/>
      <c r="F55" s="102"/>
      <c r="G55" s="102"/>
      <c r="H55" s="103"/>
      <c r="I55" s="81"/>
      <c r="J55" s="103"/>
      <c r="K55" s="81"/>
      <c r="L55" s="103"/>
      <c r="M55" s="81"/>
      <c r="N55" s="103"/>
      <c r="O55" s="82"/>
      <c r="P55" s="104"/>
      <c r="Q55" s="82"/>
      <c r="R55" s="105">
        <f>D55*R25</f>
        <v>0</v>
      </c>
      <c r="S55" s="78"/>
      <c r="T55" s="105">
        <f t="shared" si="13"/>
        <v>0</v>
      </c>
    </row>
    <row r="56" spans="1:21" ht="15.75" x14ac:dyDescent="0.25">
      <c r="A56" s="159"/>
      <c r="B56" s="154"/>
      <c r="C56" s="107">
        <f t="shared" si="11"/>
        <v>0</v>
      </c>
      <c r="D56" s="143">
        <v>0.51</v>
      </c>
      <c r="E56" s="143"/>
      <c r="F56" s="102"/>
      <c r="G56" s="102"/>
      <c r="H56" s="103"/>
      <c r="I56" s="81"/>
      <c r="J56" s="103"/>
      <c r="K56" s="81"/>
      <c r="L56" s="103"/>
      <c r="M56" s="81"/>
      <c r="N56" s="103"/>
      <c r="O56" s="82"/>
      <c r="P56" s="104"/>
      <c r="Q56" s="82"/>
      <c r="R56" s="105">
        <f>D56*R26</f>
        <v>0</v>
      </c>
      <c r="S56" s="78"/>
      <c r="T56" s="105">
        <f t="shared" si="13"/>
        <v>0</v>
      </c>
    </row>
    <row r="57" spans="1:21" ht="15.75" x14ac:dyDescent="0.25">
      <c r="A57" s="159"/>
      <c r="B57" s="154"/>
      <c r="C57" s="107">
        <f t="shared" si="11"/>
        <v>0</v>
      </c>
      <c r="D57" s="143">
        <v>0.51</v>
      </c>
      <c r="E57" s="143"/>
      <c r="F57" s="102"/>
      <c r="G57" s="102"/>
      <c r="H57" s="103"/>
      <c r="I57" s="81"/>
      <c r="J57" s="103"/>
      <c r="K57" s="81"/>
      <c r="L57" s="103"/>
      <c r="M57" s="81"/>
      <c r="N57" s="103"/>
      <c r="O57" s="82"/>
      <c r="P57" s="104"/>
      <c r="Q57" s="82"/>
      <c r="R57" s="105">
        <f>D57*R27</f>
        <v>0</v>
      </c>
      <c r="S57" s="78"/>
      <c r="T57" s="105">
        <f t="shared" si="13"/>
        <v>0</v>
      </c>
    </row>
    <row r="58" spans="1:21" ht="15.75" x14ac:dyDescent="0.25">
      <c r="A58" s="159"/>
      <c r="B58" s="154"/>
      <c r="C58" s="109" t="str">
        <f t="shared" si="11"/>
        <v>Post Docs</v>
      </c>
      <c r="D58" s="143"/>
      <c r="E58" s="143"/>
      <c r="F58" s="102"/>
      <c r="G58" s="102"/>
      <c r="H58" s="103"/>
      <c r="I58" s="81"/>
      <c r="J58" s="103"/>
      <c r="K58" s="81"/>
      <c r="L58" s="103"/>
      <c r="M58" s="81"/>
      <c r="N58" s="103"/>
      <c r="O58" s="82"/>
      <c r="P58" s="104"/>
      <c r="Q58" s="82"/>
      <c r="R58" s="105"/>
      <c r="S58" s="78"/>
      <c r="T58" s="105"/>
    </row>
    <row r="59" spans="1:21" ht="15.75" x14ac:dyDescent="0.25">
      <c r="A59" s="159"/>
      <c r="B59" s="154"/>
      <c r="C59" s="107">
        <f t="shared" si="11"/>
        <v>0</v>
      </c>
      <c r="D59" s="143">
        <v>0.33</v>
      </c>
      <c r="E59" s="143"/>
      <c r="F59" s="102"/>
      <c r="G59" s="102"/>
      <c r="H59" s="103"/>
      <c r="I59" s="81"/>
      <c r="J59" s="103"/>
      <c r="K59" s="81"/>
      <c r="L59" s="103"/>
      <c r="M59" s="81"/>
      <c r="N59" s="103"/>
      <c r="O59" s="82"/>
      <c r="P59" s="104"/>
      <c r="Q59" s="82"/>
      <c r="R59" s="105">
        <f>D59*R29</f>
        <v>0</v>
      </c>
      <c r="S59" s="78"/>
      <c r="T59" s="105">
        <f>SUM(R59+S59)</f>
        <v>0</v>
      </c>
    </row>
    <row r="60" spans="1:21" ht="15.75" x14ac:dyDescent="0.25">
      <c r="A60" s="159"/>
      <c r="B60" s="154"/>
      <c r="C60" s="107">
        <f t="shared" si="11"/>
        <v>0</v>
      </c>
      <c r="D60" s="143">
        <v>0.33</v>
      </c>
      <c r="E60" s="143"/>
      <c r="F60" s="102"/>
      <c r="G60" s="102"/>
      <c r="H60" s="103"/>
      <c r="I60" s="81"/>
      <c r="J60" s="103"/>
      <c r="K60" s="81"/>
      <c r="L60" s="103"/>
      <c r="M60" s="81"/>
      <c r="N60" s="103"/>
      <c r="O60" s="82"/>
      <c r="P60" s="104"/>
      <c r="Q60" s="82"/>
      <c r="R60" s="105">
        <f>D60*R30</f>
        <v>0</v>
      </c>
      <c r="S60" s="78"/>
      <c r="T60" s="105">
        <f t="shared" ref="T60:T62" si="14">SUM(R60+S60)</f>
        <v>0</v>
      </c>
    </row>
    <row r="61" spans="1:21" ht="15.75" x14ac:dyDescent="0.25">
      <c r="A61" s="159"/>
      <c r="B61" s="154"/>
      <c r="C61" s="107">
        <f t="shared" si="11"/>
        <v>0</v>
      </c>
      <c r="D61" s="143">
        <v>0.33</v>
      </c>
      <c r="E61" s="143"/>
      <c r="F61" s="102"/>
      <c r="G61" s="102"/>
      <c r="H61" s="103"/>
      <c r="I61" s="81"/>
      <c r="J61" s="103"/>
      <c r="K61" s="81"/>
      <c r="L61" s="103"/>
      <c r="M61" s="81"/>
      <c r="N61" s="103"/>
      <c r="O61" s="82"/>
      <c r="P61" s="104"/>
      <c r="Q61" s="82"/>
      <c r="R61" s="105">
        <f>D61*R31</f>
        <v>0</v>
      </c>
      <c r="S61" s="78"/>
      <c r="T61" s="105">
        <f t="shared" si="14"/>
        <v>0</v>
      </c>
    </row>
    <row r="62" spans="1:21" s="10" customFormat="1" ht="15.75" customHeight="1" x14ac:dyDescent="0.2">
      <c r="A62" s="154"/>
      <c r="B62" s="154"/>
      <c r="C62" s="107">
        <f t="shared" si="11"/>
        <v>0</v>
      </c>
      <c r="D62" s="143">
        <v>0.33</v>
      </c>
      <c r="E62" s="143"/>
      <c r="F62" s="143"/>
      <c r="G62" s="102"/>
      <c r="H62" s="103"/>
      <c r="I62" s="81"/>
      <c r="J62" s="103"/>
      <c r="K62" s="81"/>
      <c r="L62" s="103"/>
      <c r="M62" s="81"/>
      <c r="N62" s="103"/>
      <c r="O62" s="82"/>
      <c r="P62" s="104"/>
      <c r="Q62" s="82"/>
      <c r="R62" s="105">
        <f>D62*R32</f>
        <v>0</v>
      </c>
      <c r="S62" s="78"/>
      <c r="T62" s="105">
        <f t="shared" si="14"/>
        <v>0</v>
      </c>
      <c r="U62" s="9"/>
    </row>
    <row r="63" spans="1:21" ht="15.75" customHeight="1" x14ac:dyDescent="0.2">
      <c r="A63" s="154"/>
      <c r="B63" s="154"/>
      <c r="C63" s="109" t="str">
        <f>C35</f>
        <v>Students</v>
      </c>
      <c r="D63" s="143"/>
      <c r="E63" s="143"/>
      <c r="F63" s="102"/>
      <c r="G63" s="95"/>
      <c r="H63" s="103"/>
      <c r="I63" s="81"/>
      <c r="J63" s="103"/>
      <c r="K63" s="81"/>
      <c r="L63" s="103"/>
      <c r="M63" s="81"/>
      <c r="N63" s="103"/>
      <c r="O63" s="82"/>
      <c r="P63" s="104"/>
      <c r="Q63" s="82"/>
      <c r="R63" s="105"/>
      <c r="S63" s="78"/>
      <c r="T63" s="105"/>
    </row>
    <row r="64" spans="1:21" ht="15.75" customHeight="1" x14ac:dyDescent="0.2">
      <c r="A64" s="154"/>
      <c r="B64" s="154"/>
      <c r="C64" s="107" t="str">
        <f>C36</f>
        <v>Research Asst</v>
      </c>
      <c r="D64" s="143">
        <v>0.13</v>
      </c>
      <c r="E64" s="143"/>
      <c r="F64" s="102"/>
      <c r="G64" s="95"/>
      <c r="H64" s="103"/>
      <c r="I64" s="81"/>
      <c r="J64" s="103"/>
      <c r="K64" s="81"/>
      <c r="L64" s="103"/>
      <c r="M64" s="81"/>
      <c r="N64" s="103"/>
      <c r="O64" s="82"/>
      <c r="P64" s="104"/>
      <c r="Q64" s="82"/>
      <c r="R64" s="105">
        <f>D64*R36</f>
        <v>0</v>
      </c>
      <c r="S64" s="78"/>
      <c r="T64" s="105">
        <f>SUM(R64+S64)</f>
        <v>0</v>
      </c>
    </row>
    <row r="65" spans="1:21" ht="15.75" customHeight="1" x14ac:dyDescent="0.2">
      <c r="A65" s="154"/>
      <c r="B65" s="154"/>
      <c r="C65" s="107" t="str">
        <f>C37</f>
        <v>Hourly Undergraduate student</v>
      </c>
      <c r="D65" s="108">
        <v>4.5999999999999999E-2</v>
      </c>
      <c r="E65" s="108"/>
      <c r="F65" s="95"/>
      <c r="G65" s="95"/>
      <c r="H65" s="103"/>
      <c r="I65" s="81"/>
      <c r="J65" s="103"/>
      <c r="K65" s="81"/>
      <c r="L65" s="103"/>
      <c r="M65" s="81"/>
      <c r="N65" s="103"/>
      <c r="O65" s="82"/>
      <c r="P65" s="104"/>
      <c r="Q65" s="82"/>
      <c r="R65" s="105">
        <f>D65*R37</f>
        <v>0</v>
      </c>
      <c r="S65" s="78"/>
      <c r="T65" s="105">
        <f>SUM(R65+S65)</f>
        <v>0</v>
      </c>
      <c r="U65" s="5"/>
    </row>
    <row r="66" spans="1:21" ht="15.75" customHeight="1" x14ac:dyDescent="0.2">
      <c r="A66" s="154"/>
      <c r="B66" s="154"/>
      <c r="C66" s="107" t="str">
        <f>C38</f>
        <v>Hourly (Non-student)</v>
      </c>
      <c r="D66" s="108">
        <v>0.12</v>
      </c>
      <c r="E66" s="108"/>
      <c r="F66" s="95"/>
      <c r="G66" s="95"/>
      <c r="H66" s="103"/>
      <c r="I66" s="81"/>
      <c r="J66" s="103"/>
      <c r="K66" s="81"/>
      <c r="L66" s="103"/>
      <c r="M66" s="81"/>
      <c r="N66" s="103"/>
      <c r="O66" s="82"/>
      <c r="P66" s="104"/>
      <c r="Q66" s="82"/>
      <c r="R66" s="105">
        <f>D66*R38</f>
        <v>0</v>
      </c>
      <c r="S66" s="78"/>
      <c r="T66" s="105">
        <f>SUM(R66+S66)</f>
        <v>0</v>
      </c>
      <c r="U66" s="5"/>
    </row>
    <row r="67" spans="1:21" ht="15.75" customHeight="1" x14ac:dyDescent="0.2">
      <c r="A67" s="154"/>
      <c r="B67" s="154"/>
      <c r="C67" s="107"/>
      <c r="D67" s="108"/>
      <c r="E67" s="108"/>
      <c r="F67" s="95"/>
      <c r="G67" s="95"/>
      <c r="H67" s="103"/>
      <c r="I67" s="81"/>
      <c r="J67" s="103"/>
      <c r="K67" s="81"/>
      <c r="L67" s="103"/>
      <c r="M67" s="81"/>
      <c r="N67" s="103"/>
      <c r="O67" s="82"/>
      <c r="P67" s="104"/>
      <c r="Q67" s="82"/>
      <c r="R67" s="105"/>
      <c r="S67" s="78"/>
      <c r="T67" s="105"/>
      <c r="U67" s="5"/>
    </row>
    <row r="68" spans="1:21" x14ac:dyDescent="0.2">
      <c r="A68" s="154"/>
      <c r="B68" s="154"/>
      <c r="C68" s="177"/>
      <c r="D68" s="178"/>
      <c r="E68" s="178"/>
      <c r="F68" s="153"/>
      <c r="G68" s="153"/>
      <c r="H68" s="179"/>
      <c r="I68" s="179"/>
      <c r="J68" s="179"/>
      <c r="K68" s="179"/>
      <c r="L68" s="179"/>
      <c r="M68" s="179"/>
      <c r="N68" s="179"/>
      <c r="O68" s="179"/>
      <c r="P68" s="179"/>
      <c r="Q68" s="179"/>
      <c r="R68" s="172"/>
      <c r="S68" s="172"/>
      <c r="T68" s="180"/>
    </row>
    <row r="69" spans="1:21" s="73" customFormat="1" ht="15.75" x14ac:dyDescent="0.25">
      <c r="A69" s="173"/>
      <c r="B69" s="173"/>
      <c r="C69" s="161" t="s">
        <v>19</v>
      </c>
      <c r="D69" s="159"/>
      <c r="E69" s="159"/>
      <c r="F69" s="181"/>
      <c r="G69" s="173"/>
      <c r="H69" s="170">
        <f>H40+H42</f>
        <v>0</v>
      </c>
      <c r="I69" s="182">
        <f t="shared" ref="I69:Q69" si="15">I40+I42</f>
        <v>0</v>
      </c>
      <c r="J69" s="182">
        <f t="shared" si="15"/>
        <v>0</v>
      </c>
      <c r="K69" s="182">
        <f t="shared" si="15"/>
        <v>0</v>
      </c>
      <c r="L69" s="182">
        <f t="shared" si="15"/>
        <v>0</v>
      </c>
      <c r="M69" s="182">
        <f t="shared" si="15"/>
        <v>0</v>
      </c>
      <c r="N69" s="182">
        <f t="shared" si="15"/>
        <v>0</v>
      </c>
      <c r="O69" s="182">
        <f t="shared" si="15"/>
        <v>0</v>
      </c>
      <c r="P69" s="182">
        <f t="shared" si="15"/>
        <v>0</v>
      </c>
      <c r="Q69" s="182">
        <f t="shared" si="15"/>
        <v>0</v>
      </c>
      <c r="R69" s="175">
        <f>R40+R42</f>
        <v>0</v>
      </c>
      <c r="S69" s="77">
        <f>S40+S42</f>
        <v>0</v>
      </c>
      <c r="T69" s="176">
        <f>SUM(R69+S69)</f>
        <v>0</v>
      </c>
      <c r="U69" s="74"/>
    </row>
    <row r="70" spans="1:21" s="10" customFormat="1" x14ac:dyDescent="0.2">
      <c r="A70" s="154"/>
      <c r="B70" s="154"/>
      <c r="C70" s="183"/>
      <c r="D70" s="184"/>
      <c r="E70" s="184"/>
      <c r="F70" s="185"/>
      <c r="G70" s="154"/>
      <c r="H70" s="186"/>
      <c r="I70" s="186"/>
      <c r="J70" s="186"/>
      <c r="K70" s="186"/>
      <c r="L70" s="186"/>
      <c r="M70" s="186"/>
      <c r="N70" s="186"/>
      <c r="O70" s="186"/>
      <c r="P70" s="186"/>
      <c r="Q70" s="186"/>
      <c r="R70" s="180"/>
      <c r="S70" s="180"/>
      <c r="T70" s="180"/>
      <c r="U70" s="9"/>
    </row>
    <row r="71" spans="1:21" ht="15.75" x14ac:dyDescent="0.25">
      <c r="A71" s="159" t="s">
        <v>20</v>
      </c>
      <c r="B71" s="154"/>
      <c r="C71" s="161" t="s">
        <v>89</v>
      </c>
      <c r="D71" s="183"/>
      <c r="E71" s="183"/>
      <c r="F71" s="185"/>
      <c r="G71" s="154"/>
      <c r="H71" s="169">
        <f>SUM(H72:H73)</f>
        <v>0</v>
      </c>
      <c r="I71" s="169">
        <f t="shared" ref="I71:Q71" si="16">SUM(I72:I73)</f>
        <v>0</v>
      </c>
      <c r="J71" s="169">
        <f t="shared" si="16"/>
        <v>0</v>
      </c>
      <c r="K71" s="169">
        <f t="shared" si="16"/>
        <v>0</v>
      </c>
      <c r="L71" s="169">
        <f t="shared" si="16"/>
        <v>0</v>
      </c>
      <c r="M71" s="169">
        <f t="shared" si="16"/>
        <v>0</v>
      </c>
      <c r="N71" s="169">
        <f t="shared" si="16"/>
        <v>0</v>
      </c>
      <c r="O71" s="169">
        <f t="shared" si="16"/>
        <v>0</v>
      </c>
      <c r="P71" s="169">
        <f t="shared" si="16"/>
        <v>0</v>
      </c>
      <c r="Q71" s="169">
        <f t="shared" si="16"/>
        <v>0</v>
      </c>
      <c r="R71" s="162">
        <f>SUM(R72:R73)</f>
        <v>0</v>
      </c>
      <c r="S71" s="77">
        <f>SUM(S72:S73)</f>
        <v>0</v>
      </c>
      <c r="T71" s="162">
        <f>SUM(R71+S71)</f>
        <v>0</v>
      </c>
    </row>
    <row r="72" spans="1:21" s="10" customFormat="1" ht="15.75" x14ac:dyDescent="0.25">
      <c r="A72" s="159"/>
      <c r="B72" s="154"/>
      <c r="C72" s="107">
        <v>1</v>
      </c>
      <c r="D72" s="109"/>
      <c r="E72" s="109"/>
      <c r="F72" s="102"/>
      <c r="G72" s="95"/>
      <c r="H72" s="110"/>
      <c r="I72" s="94"/>
      <c r="J72" s="110"/>
      <c r="K72" s="94"/>
      <c r="L72" s="110"/>
      <c r="M72" s="94"/>
      <c r="N72" s="110"/>
      <c r="O72" s="94"/>
      <c r="P72" s="110"/>
      <c r="Q72" s="94"/>
      <c r="R72" s="105">
        <v>0</v>
      </c>
      <c r="S72" s="78"/>
      <c r="T72" s="105">
        <f t="shared" ref="T72:T73" si="17">SUM(R72+S72)</f>
        <v>0</v>
      </c>
      <c r="U72" s="9"/>
    </row>
    <row r="73" spans="1:21" s="10" customFormat="1" x14ac:dyDescent="0.2">
      <c r="A73" s="154"/>
      <c r="B73" s="154"/>
      <c r="C73" s="107">
        <v>2</v>
      </c>
      <c r="D73" s="111"/>
      <c r="E73" s="111"/>
      <c r="F73" s="102"/>
      <c r="G73" s="95"/>
      <c r="H73" s="110"/>
      <c r="I73" s="94"/>
      <c r="J73" s="110"/>
      <c r="K73" s="94"/>
      <c r="L73" s="110"/>
      <c r="M73" s="94"/>
      <c r="N73" s="110"/>
      <c r="O73" s="94"/>
      <c r="P73" s="110"/>
      <c r="Q73" s="94"/>
      <c r="R73" s="105"/>
      <c r="S73" s="78"/>
      <c r="T73" s="105">
        <f t="shared" si="17"/>
        <v>0</v>
      </c>
      <c r="U73" s="9"/>
    </row>
    <row r="74" spans="1:21" s="10" customFormat="1" x14ac:dyDescent="0.2">
      <c r="A74" s="154"/>
      <c r="B74" s="154"/>
      <c r="C74" s="164"/>
      <c r="D74" s="154"/>
      <c r="E74" s="154"/>
      <c r="F74" s="154"/>
      <c r="G74" s="154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80"/>
      <c r="S74" s="180"/>
      <c r="T74" s="180"/>
      <c r="U74" s="9"/>
    </row>
    <row r="75" spans="1:21" ht="15.75" x14ac:dyDescent="0.25">
      <c r="A75" s="159" t="s">
        <v>21</v>
      </c>
      <c r="B75" s="160"/>
      <c r="C75" s="161" t="s">
        <v>22</v>
      </c>
      <c r="D75" s="156"/>
      <c r="E75" s="156"/>
      <c r="F75" s="156"/>
      <c r="G75" s="156"/>
      <c r="H75" s="169">
        <f t="shared" ref="H75:Q75" si="18">SUM(H76:H77)</f>
        <v>0</v>
      </c>
      <c r="I75" s="169">
        <f t="shared" si="18"/>
        <v>0</v>
      </c>
      <c r="J75" s="169">
        <f t="shared" si="18"/>
        <v>0</v>
      </c>
      <c r="K75" s="169">
        <f t="shared" si="18"/>
        <v>0</v>
      </c>
      <c r="L75" s="169">
        <f t="shared" si="18"/>
        <v>0</v>
      </c>
      <c r="M75" s="169">
        <f t="shared" si="18"/>
        <v>0</v>
      </c>
      <c r="N75" s="169">
        <f t="shared" si="18"/>
        <v>0</v>
      </c>
      <c r="O75" s="170">
        <f t="shared" si="18"/>
        <v>0</v>
      </c>
      <c r="P75" s="170">
        <f t="shared" si="18"/>
        <v>0</v>
      </c>
      <c r="Q75" s="170">
        <f t="shared" si="18"/>
        <v>0</v>
      </c>
      <c r="R75" s="162">
        <f>SUM(R76:R77)</f>
        <v>0</v>
      </c>
      <c r="S75" s="77">
        <f>SUM(S76:S77)</f>
        <v>0</v>
      </c>
      <c r="T75" s="162">
        <f>SUM(R75+S75)</f>
        <v>0</v>
      </c>
    </row>
    <row r="76" spans="1:21" ht="15.75" x14ac:dyDescent="0.25">
      <c r="A76" s="159"/>
      <c r="B76" s="154"/>
      <c r="C76" s="107" t="s">
        <v>23</v>
      </c>
      <c r="D76" s="298"/>
      <c r="E76" s="298"/>
      <c r="F76" s="298"/>
      <c r="G76" s="298"/>
      <c r="H76" s="103"/>
      <c r="I76" s="81"/>
      <c r="J76" s="103"/>
      <c r="K76" s="81"/>
      <c r="L76" s="103"/>
      <c r="M76" s="81"/>
      <c r="N76" s="103"/>
      <c r="O76" s="82"/>
      <c r="P76" s="104"/>
      <c r="Q76" s="82"/>
      <c r="R76" s="105">
        <v>0</v>
      </c>
      <c r="S76" s="78"/>
      <c r="T76" s="105">
        <f t="shared" ref="T76:T77" si="19">SUM(R76+S76)</f>
        <v>0</v>
      </c>
    </row>
    <row r="77" spans="1:21" x14ac:dyDescent="0.2">
      <c r="A77" s="154"/>
      <c r="B77" s="154"/>
      <c r="C77" s="107" t="s">
        <v>24</v>
      </c>
      <c r="D77" s="298"/>
      <c r="E77" s="298"/>
      <c r="F77" s="298"/>
      <c r="G77" s="298"/>
      <c r="H77" s="103"/>
      <c r="I77" s="81"/>
      <c r="J77" s="103"/>
      <c r="K77" s="81"/>
      <c r="L77" s="103"/>
      <c r="M77" s="81"/>
      <c r="N77" s="103"/>
      <c r="O77" s="82"/>
      <c r="P77" s="104"/>
      <c r="Q77" s="82"/>
      <c r="R77" s="105"/>
      <c r="S77" s="78"/>
      <c r="T77" s="105">
        <f t="shared" si="19"/>
        <v>0</v>
      </c>
    </row>
    <row r="78" spans="1:21" x14ac:dyDescent="0.2">
      <c r="A78" s="154"/>
      <c r="B78" s="154"/>
      <c r="C78" s="164"/>
      <c r="D78" s="187"/>
      <c r="E78" s="187"/>
      <c r="F78" s="187"/>
      <c r="G78" s="187"/>
      <c r="H78" s="188"/>
      <c r="I78" s="188"/>
      <c r="J78" s="188"/>
      <c r="K78" s="188"/>
      <c r="L78" s="188"/>
      <c r="M78" s="188"/>
      <c r="N78" s="188"/>
      <c r="O78" s="188"/>
      <c r="P78" s="188"/>
      <c r="Q78" s="188"/>
      <c r="R78" s="189"/>
      <c r="S78" s="78"/>
      <c r="T78" s="189"/>
    </row>
    <row r="79" spans="1:21" ht="15.75" x14ac:dyDescent="0.25">
      <c r="A79" s="159" t="s">
        <v>25</v>
      </c>
      <c r="B79" s="154"/>
      <c r="C79" s="161" t="s">
        <v>26</v>
      </c>
      <c r="D79" s="156"/>
      <c r="E79" s="190" t="s">
        <v>90</v>
      </c>
      <c r="F79" s="191"/>
      <c r="G79" s="156"/>
      <c r="H79" s="169">
        <f>SUM(H80:H83)</f>
        <v>0</v>
      </c>
      <c r="I79" s="169">
        <f t="shared" ref="I79:Q79" si="20">SUM(I80:I83)</f>
        <v>0</v>
      </c>
      <c r="J79" s="169">
        <f t="shared" si="20"/>
        <v>0</v>
      </c>
      <c r="K79" s="169">
        <f t="shared" si="20"/>
        <v>0</v>
      </c>
      <c r="L79" s="169">
        <f t="shared" si="20"/>
        <v>0</v>
      </c>
      <c r="M79" s="169">
        <f t="shared" si="20"/>
        <v>0</v>
      </c>
      <c r="N79" s="169">
        <f t="shared" si="20"/>
        <v>0</v>
      </c>
      <c r="O79" s="169">
        <f t="shared" si="20"/>
        <v>0</v>
      </c>
      <c r="P79" s="170">
        <f t="shared" si="20"/>
        <v>0</v>
      </c>
      <c r="Q79" s="169">
        <f t="shared" si="20"/>
        <v>0</v>
      </c>
      <c r="R79" s="162">
        <f>SUM(R80:R83)</f>
        <v>0</v>
      </c>
      <c r="S79" s="77">
        <f>SUM(S80:S83)</f>
        <v>0</v>
      </c>
      <c r="T79" s="162">
        <f>SUM(R79+S79)</f>
        <v>0</v>
      </c>
    </row>
    <row r="80" spans="1:21" x14ac:dyDescent="0.2">
      <c r="A80" s="154"/>
      <c r="B80" s="154"/>
      <c r="C80" s="164" t="s">
        <v>27</v>
      </c>
      <c r="D80" s="299"/>
      <c r="E80" s="299"/>
      <c r="F80" s="299"/>
      <c r="G80" s="300"/>
      <c r="H80" s="192"/>
      <c r="I80" s="192"/>
      <c r="J80" s="192"/>
      <c r="K80" s="192"/>
      <c r="L80" s="192"/>
      <c r="M80" s="192"/>
      <c r="N80" s="192"/>
      <c r="O80" s="193"/>
      <c r="P80" s="193"/>
      <c r="Q80" s="193"/>
      <c r="R80" s="189">
        <v>0</v>
      </c>
      <c r="S80" s="78">
        <f t="shared" ref="S80:S83" si="21">SUM(I80+K80+M80+O80+Q80)</f>
        <v>0</v>
      </c>
      <c r="T80" s="189">
        <f t="shared" ref="T80:T83" si="22">SUM(R80+S80)</f>
        <v>0</v>
      </c>
    </row>
    <row r="81" spans="1:21" x14ac:dyDescent="0.2">
      <c r="A81" s="154"/>
      <c r="B81" s="154"/>
      <c r="C81" s="194" t="s">
        <v>28</v>
      </c>
      <c r="D81" s="299"/>
      <c r="E81" s="299"/>
      <c r="F81" s="299"/>
      <c r="G81" s="300"/>
      <c r="H81" s="192"/>
      <c r="I81" s="192"/>
      <c r="J81" s="192"/>
      <c r="K81" s="192"/>
      <c r="L81" s="192"/>
      <c r="M81" s="192"/>
      <c r="N81" s="192"/>
      <c r="O81" s="193"/>
      <c r="P81" s="193"/>
      <c r="Q81" s="193"/>
      <c r="R81" s="189">
        <v>0</v>
      </c>
      <c r="S81" s="78">
        <f t="shared" si="21"/>
        <v>0</v>
      </c>
      <c r="T81" s="189">
        <f t="shared" si="22"/>
        <v>0</v>
      </c>
    </row>
    <row r="82" spans="1:21" x14ac:dyDescent="0.2">
      <c r="A82" s="154"/>
      <c r="B82" s="154"/>
      <c r="C82" s="194" t="s">
        <v>87</v>
      </c>
      <c r="D82" s="299"/>
      <c r="E82" s="299"/>
      <c r="F82" s="299"/>
      <c r="G82" s="300"/>
      <c r="H82" s="192"/>
      <c r="I82" s="192"/>
      <c r="J82" s="192"/>
      <c r="K82" s="192"/>
      <c r="L82" s="192"/>
      <c r="M82" s="192"/>
      <c r="N82" s="192"/>
      <c r="O82" s="193"/>
      <c r="P82" s="193"/>
      <c r="Q82" s="193"/>
      <c r="R82" s="189">
        <v>0</v>
      </c>
      <c r="S82" s="78">
        <f t="shared" si="21"/>
        <v>0</v>
      </c>
      <c r="T82" s="189">
        <f t="shared" si="22"/>
        <v>0</v>
      </c>
    </row>
    <row r="83" spans="1:21" x14ac:dyDescent="0.2">
      <c r="A83" s="154"/>
      <c r="B83" s="154"/>
      <c r="C83" s="164" t="s">
        <v>88</v>
      </c>
      <c r="D83" s="187"/>
      <c r="E83" s="187"/>
      <c r="F83" s="187"/>
      <c r="G83" s="187"/>
      <c r="H83" s="192"/>
      <c r="I83" s="192"/>
      <c r="J83" s="192"/>
      <c r="K83" s="192"/>
      <c r="L83" s="192"/>
      <c r="M83" s="192"/>
      <c r="N83" s="192"/>
      <c r="O83" s="193"/>
      <c r="P83" s="193"/>
      <c r="Q83" s="193"/>
      <c r="R83" s="189">
        <v>0</v>
      </c>
      <c r="S83" s="78">
        <f t="shared" si="21"/>
        <v>0</v>
      </c>
      <c r="T83" s="189">
        <f t="shared" si="22"/>
        <v>0</v>
      </c>
    </row>
    <row r="84" spans="1:21" s="10" customFormat="1" x14ac:dyDescent="0.2">
      <c r="A84" s="154"/>
      <c r="B84" s="154"/>
      <c r="C84" s="164"/>
      <c r="D84" s="154"/>
      <c r="E84" s="154"/>
      <c r="F84" s="154"/>
      <c r="G84" s="154"/>
      <c r="H84" s="179"/>
      <c r="I84" s="179"/>
      <c r="J84" s="179"/>
      <c r="K84" s="179"/>
      <c r="L84" s="179"/>
      <c r="M84" s="179"/>
      <c r="N84" s="179"/>
      <c r="O84" s="179"/>
      <c r="P84" s="179"/>
      <c r="Q84" s="179"/>
      <c r="R84" s="180"/>
      <c r="S84" s="79"/>
      <c r="T84" s="180"/>
      <c r="U84" s="9"/>
    </row>
    <row r="85" spans="1:21" ht="15.75" x14ac:dyDescent="0.25">
      <c r="A85" s="159" t="s">
        <v>29</v>
      </c>
      <c r="B85" s="160"/>
      <c r="C85" s="161" t="s">
        <v>30</v>
      </c>
      <c r="D85" s="156"/>
      <c r="E85" s="156"/>
      <c r="F85" s="156"/>
      <c r="G85" s="156"/>
      <c r="H85" s="169">
        <f t="shared" ref="H85:S85" si="23">SUM(H86:H102)</f>
        <v>0</v>
      </c>
      <c r="I85" s="169">
        <f t="shared" si="23"/>
        <v>0</v>
      </c>
      <c r="J85" s="169">
        <f t="shared" si="23"/>
        <v>0</v>
      </c>
      <c r="K85" s="169">
        <f t="shared" si="23"/>
        <v>0</v>
      </c>
      <c r="L85" s="169">
        <f t="shared" si="23"/>
        <v>0</v>
      </c>
      <c r="M85" s="169">
        <f t="shared" si="23"/>
        <v>0</v>
      </c>
      <c r="N85" s="169">
        <f t="shared" si="23"/>
        <v>0</v>
      </c>
      <c r="O85" s="169">
        <f t="shared" si="23"/>
        <v>0</v>
      </c>
      <c r="P85" s="170">
        <f t="shared" si="23"/>
        <v>0</v>
      </c>
      <c r="Q85" s="169">
        <f t="shared" si="23"/>
        <v>0</v>
      </c>
      <c r="R85" s="162">
        <f t="shared" si="23"/>
        <v>0</v>
      </c>
      <c r="S85" s="77">
        <f t="shared" si="23"/>
        <v>0</v>
      </c>
      <c r="T85" s="162">
        <f>SUM(R85+S85)</f>
        <v>0</v>
      </c>
    </row>
    <row r="86" spans="1:21" x14ac:dyDescent="0.2">
      <c r="A86" s="154"/>
      <c r="B86" s="154">
        <v>1</v>
      </c>
      <c r="C86" s="112" t="s">
        <v>41</v>
      </c>
      <c r="D86" s="113"/>
      <c r="E86" s="113"/>
      <c r="F86" s="113"/>
      <c r="G86" s="113"/>
      <c r="H86" s="103"/>
      <c r="I86" s="81"/>
      <c r="J86" s="103"/>
      <c r="K86" s="81"/>
      <c r="L86" s="103"/>
      <c r="M86" s="81"/>
      <c r="N86" s="103"/>
      <c r="O86" s="82"/>
      <c r="P86" s="104"/>
      <c r="Q86" s="82"/>
      <c r="R86" s="105">
        <v>0</v>
      </c>
      <c r="S86" s="78"/>
      <c r="T86" s="105">
        <f t="shared" ref="T86:T102" si="24">SUM(R86+S86)</f>
        <v>0</v>
      </c>
    </row>
    <row r="87" spans="1:21" x14ac:dyDescent="0.2">
      <c r="A87" s="154"/>
      <c r="B87" s="154">
        <v>2</v>
      </c>
      <c r="C87" s="107" t="s">
        <v>130</v>
      </c>
      <c r="D87" s="113"/>
      <c r="E87" s="113"/>
      <c r="F87" s="113"/>
      <c r="G87" s="113"/>
      <c r="H87" s="103"/>
      <c r="I87" s="81"/>
      <c r="J87" s="103"/>
      <c r="K87" s="81"/>
      <c r="L87" s="103"/>
      <c r="M87" s="81"/>
      <c r="N87" s="103"/>
      <c r="O87" s="82"/>
      <c r="P87" s="104"/>
      <c r="Q87" s="82"/>
      <c r="R87" s="105">
        <v>0</v>
      </c>
      <c r="S87" s="78"/>
      <c r="T87" s="105">
        <f t="shared" si="24"/>
        <v>0</v>
      </c>
    </row>
    <row r="88" spans="1:21" x14ac:dyDescent="0.2">
      <c r="A88" s="154"/>
      <c r="B88" s="154">
        <v>3</v>
      </c>
      <c r="C88" s="107" t="s">
        <v>159</v>
      </c>
      <c r="D88" s="95"/>
      <c r="E88" s="95"/>
      <c r="F88" s="95"/>
      <c r="G88" s="95"/>
      <c r="H88" s="103"/>
      <c r="I88" s="81"/>
      <c r="J88" s="103"/>
      <c r="K88" s="81"/>
      <c r="L88" s="103"/>
      <c r="M88" s="81"/>
      <c r="N88" s="103"/>
      <c r="O88" s="82"/>
      <c r="P88" s="104"/>
      <c r="Q88" s="82"/>
      <c r="R88" s="105">
        <v>0</v>
      </c>
      <c r="S88" s="78"/>
      <c r="T88" s="105">
        <f t="shared" si="24"/>
        <v>0</v>
      </c>
    </row>
    <row r="89" spans="1:21" x14ac:dyDescent="0.2">
      <c r="A89" s="154"/>
      <c r="B89" s="154">
        <v>4</v>
      </c>
      <c r="C89" s="112" t="s">
        <v>42</v>
      </c>
      <c r="D89" s="95"/>
      <c r="E89" s="95"/>
      <c r="F89" s="95"/>
      <c r="G89" s="95"/>
      <c r="H89" s="103"/>
      <c r="I89" s="81"/>
      <c r="J89" s="103"/>
      <c r="K89" s="81"/>
      <c r="L89" s="103"/>
      <c r="M89" s="81"/>
      <c r="N89" s="103"/>
      <c r="O89" s="82"/>
      <c r="P89" s="104"/>
      <c r="Q89" s="82"/>
      <c r="R89" s="105">
        <v>0</v>
      </c>
      <c r="S89" s="78"/>
      <c r="T89" s="105">
        <f t="shared" si="24"/>
        <v>0</v>
      </c>
    </row>
    <row r="90" spans="1:21" x14ac:dyDescent="0.2">
      <c r="A90" s="154"/>
      <c r="B90" s="154"/>
      <c r="C90" s="112" t="s">
        <v>160</v>
      </c>
      <c r="D90" s="95"/>
      <c r="E90" s="95"/>
      <c r="F90" s="95"/>
      <c r="G90" s="95"/>
      <c r="H90" s="103"/>
      <c r="I90" s="81"/>
      <c r="J90" s="103"/>
      <c r="K90" s="81"/>
      <c r="L90" s="103"/>
      <c r="M90" s="81"/>
      <c r="N90" s="103"/>
      <c r="O90" s="82"/>
      <c r="P90" s="104"/>
      <c r="Q90" s="82"/>
      <c r="R90" s="105">
        <v>0</v>
      </c>
      <c r="S90" s="78"/>
      <c r="T90" s="105">
        <f t="shared" si="24"/>
        <v>0</v>
      </c>
    </row>
    <row r="91" spans="1:21" x14ac:dyDescent="0.2">
      <c r="A91" s="154"/>
      <c r="B91" s="154"/>
      <c r="C91" s="107" t="s">
        <v>161</v>
      </c>
      <c r="D91" s="95"/>
      <c r="E91" s="95"/>
      <c r="F91" s="95"/>
      <c r="G91" s="95"/>
      <c r="H91" s="103"/>
      <c r="I91" s="81"/>
      <c r="J91" s="103"/>
      <c r="K91" s="81"/>
      <c r="L91" s="103"/>
      <c r="M91" s="81"/>
      <c r="N91" s="103"/>
      <c r="O91" s="82"/>
      <c r="P91" s="104"/>
      <c r="Q91" s="82"/>
      <c r="R91" s="105">
        <v>0</v>
      </c>
      <c r="S91" s="78"/>
      <c r="T91" s="105">
        <f t="shared" si="24"/>
        <v>0</v>
      </c>
    </row>
    <row r="92" spans="1:21" x14ac:dyDescent="0.2">
      <c r="A92" s="154"/>
      <c r="B92" s="154">
        <v>5</v>
      </c>
      <c r="C92" s="107" t="s">
        <v>95</v>
      </c>
      <c r="D92" s="95"/>
      <c r="E92" s="114" t="s">
        <v>90</v>
      </c>
      <c r="F92" s="113"/>
      <c r="G92" s="95"/>
      <c r="H92" s="103"/>
      <c r="I92" s="81"/>
      <c r="J92" s="103"/>
      <c r="K92" s="81"/>
      <c r="L92" s="103"/>
      <c r="M92" s="81"/>
      <c r="N92" s="103"/>
      <c r="O92" s="82"/>
      <c r="P92" s="104"/>
      <c r="Q92" s="82"/>
      <c r="R92" s="105">
        <v>0</v>
      </c>
      <c r="S92" s="78"/>
      <c r="T92" s="105">
        <f t="shared" si="24"/>
        <v>0</v>
      </c>
    </row>
    <row r="93" spans="1:21" x14ac:dyDescent="0.2">
      <c r="A93" s="154"/>
      <c r="B93" s="154"/>
      <c r="C93" s="113" t="s">
        <v>93</v>
      </c>
      <c r="D93" s="95"/>
      <c r="E93" s="95"/>
      <c r="F93" s="114"/>
      <c r="G93" s="95"/>
      <c r="H93" s="103"/>
      <c r="I93" s="81"/>
      <c r="J93" s="103"/>
      <c r="K93" s="81"/>
      <c r="L93" s="103"/>
      <c r="M93" s="81"/>
      <c r="N93" s="103"/>
      <c r="O93" s="82"/>
      <c r="P93" s="104"/>
      <c r="Q93" s="82"/>
      <c r="R93" s="105">
        <v>0</v>
      </c>
      <c r="S93" s="78"/>
      <c r="T93" s="105">
        <f t="shared" si="24"/>
        <v>0</v>
      </c>
    </row>
    <row r="94" spans="1:21" x14ac:dyDescent="0.2">
      <c r="A94" s="154"/>
      <c r="B94" s="154"/>
      <c r="C94" s="107" t="s">
        <v>94</v>
      </c>
      <c r="D94" s="95"/>
      <c r="E94" s="114" t="s">
        <v>90</v>
      </c>
      <c r="F94" s="96"/>
      <c r="G94" s="95"/>
      <c r="H94" s="103"/>
      <c r="I94" s="81"/>
      <c r="J94" s="103"/>
      <c r="K94" s="81"/>
      <c r="L94" s="103"/>
      <c r="M94" s="81"/>
      <c r="N94" s="103"/>
      <c r="O94" s="82"/>
      <c r="P94" s="104"/>
      <c r="Q94" s="82"/>
      <c r="R94" s="105"/>
      <c r="S94" s="78"/>
      <c r="T94" s="105">
        <f t="shared" si="24"/>
        <v>0</v>
      </c>
    </row>
    <row r="95" spans="1:21" x14ac:dyDescent="0.2">
      <c r="A95" s="154"/>
      <c r="B95" s="154"/>
      <c r="C95" s="113" t="s">
        <v>93</v>
      </c>
      <c r="D95" s="95"/>
      <c r="E95" s="95"/>
      <c r="F95" s="114"/>
      <c r="G95" s="95"/>
      <c r="H95" s="103"/>
      <c r="I95" s="81"/>
      <c r="J95" s="103"/>
      <c r="K95" s="81"/>
      <c r="L95" s="103"/>
      <c r="M95" s="81"/>
      <c r="N95" s="103"/>
      <c r="O95" s="82"/>
      <c r="P95" s="104"/>
      <c r="Q95" s="82"/>
      <c r="R95" s="105"/>
      <c r="S95" s="78"/>
      <c r="T95" s="105">
        <f t="shared" si="24"/>
        <v>0</v>
      </c>
    </row>
    <row r="96" spans="1:21" x14ac:dyDescent="0.2">
      <c r="A96" s="154"/>
      <c r="B96" s="154">
        <v>6</v>
      </c>
      <c r="C96" s="107" t="s">
        <v>162</v>
      </c>
      <c r="D96" s="285" t="s">
        <v>247</v>
      </c>
      <c r="E96" s="115"/>
      <c r="F96" s="116"/>
      <c r="G96" s="117"/>
      <c r="H96" s="105"/>
      <c r="I96" s="81"/>
      <c r="J96" s="105"/>
      <c r="K96" s="81"/>
      <c r="L96" s="105"/>
      <c r="M96" s="81"/>
      <c r="N96" s="105"/>
      <c r="O96" s="82"/>
      <c r="P96" s="119"/>
      <c r="Q96" s="82"/>
      <c r="R96" s="105">
        <v>0</v>
      </c>
      <c r="S96" s="78"/>
      <c r="T96" s="105">
        <f t="shared" si="24"/>
        <v>0</v>
      </c>
    </row>
    <row r="97" spans="1:21" x14ac:dyDescent="0.2">
      <c r="A97" s="154"/>
      <c r="B97" s="154"/>
      <c r="C97" s="107" t="s">
        <v>163</v>
      </c>
      <c r="D97" s="115"/>
      <c r="E97" s="115"/>
      <c r="F97" s="116"/>
      <c r="G97" s="117"/>
      <c r="H97" s="105"/>
      <c r="I97" s="81"/>
      <c r="J97" s="105"/>
      <c r="K97" s="81"/>
      <c r="L97" s="105"/>
      <c r="M97" s="81"/>
      <c r="N97" s="105"/>
      <c r="O97" s="82"/>
      <c r="P97" s="119"/>
      <c r="Q97" s="82"/>
      <c r="R97" s="105"/>
      <c r="S97" s="78"/>
      <c r="T97" s="105">
        <f t="shared" si="24"/>
        <v>0</v>
      </c>
    </row>
    <row r="98" spans="1:21" x14ac:dyDescent="0.2">
      <c r="A98" s="154"/>
      <c r="B98" s="154">
        <v>7</v>
      </c>
      <c r="C98" s="107" t="s">
        <v>230</v>
      </c>
      <c r="D98" s="95"/>
      <c r="E98" s="95"/>
      <c r="F98" s="95"/>
      <c r="G98" s="118"/>
      <c r="H98" s="103"/>
      <c r="I98" s="81"/>
      <c r="J98" s="103"/>
      <c r="K98" s="81"/>
      <c r="L98" s="103"/>
      <c r="M98" s="81"/>
      <c r="N98" s="103"/>
      <c r="O98" s="82"/>
      <c r="P98" s="104"/>
      <c r="Q98" s="82"/>
      <c r="R98" s="105">
        <f>E99+E100+E101</f>
        <v>0</v>
      </c>
      <c r="S98" s="78"/>
      <c r="T98" s="105">
        <f t="shared" si="24"/>
        <v>0</v>
      </c>
      <c r="U98" s="5"/>
    </row>
    <row r="99" spans="1:21" x14ac:dyDescent="0.2">
      <c r="A99" s="154"/>
      <c r="B99" s="154"/>
      <c r="C99" s="107" t="s">
        <v>228</v>
      </c>
      <c r="D99" s="95"/>
      <c r="E99" s="95">
        <v>0</v>
      </c>
      <c r="F99" s="95"/>
      <c r="G99" s="118"/>
      <c r="H99" s="103"/>
      <c r="I99" s="81"/>
      <c r="J99" s="103"/>
      <c r="K99" s="81"/>
      <c r="L99" s="103"/>
      <c r="M99" s="81"/>
      <c r="N99" s="103"/>
      <c r="O99" s="82"/>
      <c r="P99" s="104"/>
      <c r="Q99" s="82"/>
      <c r="R99" s="105"/>
      <c r="S99" s="78"/>
      <c r="T99" s="105"/>
      <c r="U99" s="5"/>
    </row>
    <row r="100" spans="1:21" x14ac:dyDescent="0.2">
      <c r="A100" s="154"/>
      <c r="B100" s="154"/>
      <c r="C100" s="107" t="s">
        <v>229</v>
      </c>
      <c r="D100" s="95"/>
      <c r="E100" s="95">
        <v>0</v>
      </c>
      <c r="F100" s="95"/>
      <c r="G100" s="118"/>
      <c r="H100" s="103"/>
      <c r="I100" s="81"/>
      <c r="J100" s="103"/>
      <c r="K100" s="81"/>
      <c r="L100" s="103"/>
      <c r="M100" s="81"/>
      <c r="N100" s="103"/>
      <c r="O100" s="82"/>
      <c r="P100" s="104"/>
      <c r="Q100" s="82"/>
      <c r="R100" s="105"/>
      <c r="S100" s="78"/>
      <c r="T100" s="105"/>
      <c r="U100" s="5"/>
    </row>
    <row r="101" spans="1:21" x14ac:dyDescent="0.2">
      <c r="A101" s="154"/>
      <c r="B101" s="154"/>
      <c r="C101" s="107" t="s">
        <v>231</v>
      </c>
      <c r="D101" s="95"/>
      <c r="E101" s="95">
        <v>0</v>
      </c>
      <c r="F101" s="95"/>
      <c r="G101" s="118"/>
      <c r="H101" s="103"/>
      <c r="I101" s="81"/>
      <c r="J101" s="103"/>
      <c r="K101" s="81"/>
      <c r="L101" s="103"/>
      <c r="M101" s="81"/>
      <c r="N101" s="103"/>
      <c r="O101" s="82"/>
      <c r="P101" s="104"/>
      <c r="Q101" s="82"/>
      <c r="R101" s="105"/>
      <c r="S101" s="78"/>
      <c r="T101" s="105"/>
      <c r="U101" s="5"/>
    </row>
    <row r="102" spans="1:21" x14ac:dyDescent="0.2">
      <c r="A102" s="154"/>
      <c r="B102" s="154">
        <v>8</v>
      </c>
      <c r="C102" s="107" t="s">
        <v>164</v>
      </c>
      <c r="D102" s="95"/>
      <c r="E102" s="95"/>
      <c r="F102" s="95"/>
      <c r="G102" s="118"/>
      <c r="H102" s="103"/>
      <c r="I102" s="81"/>
      <c r="J102" s="103"/>
      <c r="K102" s="81"/>
      <c r="L102" s="103"/>
      <c r="M102" s="81"/>
      <c r="N102" s="103"/>
      <c r="O102" s="82"/>
      <c r="P102" s="104"/>
      <c r="Q102" s="82"/>
      <c r="R102" s="105">
        <f>D103+D104+D105</f>
        <v>0</v>
      </c>
      <c r="S102" s="78"/>
      <c r="T102" s="105">
        <f t="shared" si="24"/>
        <v>0</v>
      </c>
      <c r="U102" s="5"/>
    </row>
    <row r="103" spans="1:21" x14ac:dyDescent="0.2">
      <c r="A103" s="154"/>
      <c r="B103" s="154"/>
      <c r="C103" s="107" t="s">
        <v>233</v>
      </c>
      <c r="D103" s="95">
        <v>0</v>
      </c>
      <c r="E103" s="95"/>
      <c r="F103" s="95"/>
      <c r="G103" s="118"/>
      <c r="H103" s="275"/>
      <c r="I103" s="276"/>
      <c r="J103" s="275"/>
      <c r="K103" s="276"/>
      <c r="L103" s="275"/>
      <c r="M103" s="276"/>
      <c r="N103" s="275"/>
      <c r="O103" s="276"/>
      <c r="P103" s="275"/>
      <c r="Q103" s="276"/>
      <c r="R103" s="105"/>
      <c r="S103" s="78"/>
      <c r="T103" s="105"/>
      <c r="U103" s="5"/>
    </row>
    <row r="104" spans="1:21" x14ac:dyDescent="0.2">
      <c r="A104" s="154"/>
      <c r="B104" s="154"/>
      <c r="C104" s="107" t="s">
        <v>232</v>
      </c>
      <c r="D104" s="95">
        <v>0</v>
      </c>
      <c r="E104" s="95"/>
      <c r="F104" s="95"/>
      <c r="G104" s="118"/>
      <c r="H104" s="275"/>
      <c r="I104" s="276"/>
      <c r="J104" s="275"/>
      <c r="K104" s="276"/>
      <c r="L104" s="275"/>
      <c r="M104" s="276"/>
      <c r="N104" s="275"/>
      <c r="O104" s="276"/>
      <c r="P104" s="275"/>
      <c r="Q104" s="276"/>
      <c r="R104" s="105"/>
      <c r="S104" s="78"/>
      <c r="T104" s="105"/>
      <c r="U104" s="5"/>
    </row>
    <row r="105" spans="1:21" x14ac:dyDescent="0.2">
      <c r="A105" s="154"/>
      <c r="B105" s="154"/>
      <c r="C105" s="107" t="s">
        <v>234</v>
      </c>
      <c r="D105" s="95">
        <v>0</v>
      </c>
      <c r="E105" s="95"/>
      <c r="F105" s="95"/>
      <c r="G105" s="118"/>
      <c r="H105" s="275"/>
      <c r="I105" s="276"/>
      <c r="J105" s="275"/>
      <c r="K105" s="276"/>
      <c r="L105" s="275"/>
      <c r="M105" s="276"/>
      <c r="N105" s="275"/>
      <c r="O105" s="276"/>
      <c r="P105" s="275"/>
      <c r="Q105" s="276"/>
      <c r="R105" s="105"/>
      <c r="S105" s="78"/>
      <c r="T105" s="105"/>
      <c r="U105" s="5"/>
    </row>
    <row r="106" spans="1:21" s="10" customFormat="1" x14ac:dyDescent="0.2">
      <c r="A106" s="154"/>
      <c r="B106" s="154"/>
      <c r="C106" s="164"/>
      <c r="D106" s="154"/>
      <c r="E106" s="154"/>
      <c r="F106" s="154"/>
      <c r="G106" s="195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180"/>
      <c r="S106" s="180"/>
      <c r="T106" s="180"/>
      <c r="U106" s="80"/>
    </row>
    <row r="107" spans="1:21" ht="15.75" x14ac:dyDescent="0.25">
      <c r="A107" s="154"/>
      <c r="B107" s="154"/>
      <c r="C107" s="161" t="s">
        <v>31</v>
      </c>
      <c r="D107" s="161"/>
      <c r="E107" s="161"/>
      <c r="F107" s="196"/>
      <c r="G107" s="197"/>
      <c r="H107" s="122">
        <f t="shared" ref="H107:S107" si="25">H69+H71+H75+H79+H85</f>
        <v>0</v>
      </c>
      <c r="I107" s="120">
        <f t="shared" si="25"/>
        <v>0</v>
      </c>
      <c r="J107" s="124">
        <f t="shared" si="25"/>
        <v>0</v>
      </c>
      <c r="K107" s="120">
        <f t="shared" si="25"/>
        <v>0</v>
      </c>
      <c r="L107" s="124">
        <f t="shared" si="25"/>
        <v>0</v>
      </c>
      <c r="M107" s="120">
        <f t="shared" si="25"/>
        <v>0</v>
      </c>
      <c r="N107" s="124">
        <f t="shared" si="25"/>
        <v>0</v>
      </c>
      <c r="O107" s="120">
        <f t="shared" si="25"/>
        <v>0</v>
      </c>
      <c r="P107" s="124">
        <f t="shared" si="25"/>
        <v>0</v>
      </c>
      <c r="Q107" s="120">
        <f t="shared" si="25"/>
        <v>0</v>
      </c>
      <c r="R107" s="122">
        <f t="shared" si="25"/>
        <v>0</v>
      </c>
      <c r="S107" s="120">
        <f t="shared" si="25"/>
        <v>0</v>
      </c>
      <c r="T107" s="127">
        <f>SUM(R107+S107)</f>
        <v>0</v>
      </c>
      <c r="U107" s="5"/>
    </row>
    <row r="108" spans="1:21" s="10" customFormat="1" x14ac:dyDescent="0.2">
      <c r="A108" s="154"/>
      <c r="B108" s="154"/>
      <c r="C108" s="164"/>
      <c r="D108" s="154"/>
      <c r="E108" s="154"/>
      <c r="F108" s="154"/>
      <c r="G108" s="154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180"/>
      <c r="S108" s="180"/>
      <c r="T108" s="180"/>
      <c r="U108" s="9"/>
    </row>
    <row r="109" spans="1:21" ht="15.75" x14ac:dyDescent="0.25">
      <c r="A109" s="154"/>
      <c r="B109" s="154"/>
      <c r="C109" s="161" t="s">
        <v>39</v>
      </c>
      <c r="D109" s="161"/>
      <c r="E109" s="161"/>
      <c r="F109" s="198"/>
      <c r="G109" s="173"/>
      <c r="H109" s="122">
        <f t="shared" ref="H109:S109" si="26">(H107-H71-H93-H95-H96-H97)</f>
        <v>0</v>
      </c>
      <c r="I109" s="120">
        <f t="shared" si="26"/>
        <v>0</v>
      </c>
      <c r="J109" s="124">
        <f t="shared" si="26"/>
        <v>0</v>
      </c>
      <c r="K109" s="120">
        <f t="shared" si="26"/>
        <v>0</v>
      </c>
      <c r="L109" s="124">
        <f t="shared" si="26"/>
        <v>0</v>
      </c>
      <c r="M109" s="120">
        <f t="shared" si="26"/>
        <v>0</v>
      </c>
      <c r="N109" s="124">
        <f t="shared" si="26"/>
        <v>0</v>
      </c>
      <c r="O109" s="120">
        <f t="shared" si="26"/>
        <v>0</v>
      </c>
      <c r="P109" s="124">
        <f t="shared" si="26"/>
        <v>0</v>
      </c>
      <c r="Q109" s="120">
        <f t="shared" si="26"/>
        <v>0</v>
      </c>
      <c r="R109" s="126">
        <f t="shared" si="26"/>
        <v>0</v>
      </c>
      <c r="S109" s="120">
        <f t="shared" si="26"/>
        <v>0</v>
      </c>
      <c r="T109" s="127">
        <f>SUM(R109+S109)</f>
        <v>0</v>
      </c>
    </row>
    <row r="110" spans="1:21" s="10" customFormat="1" x14ac:dyDescent="0.2">
      <c r="A110" s="154"/>
      <c r="B110" s="154"/>
      <c r="C110" s="107" t="s">
        <v>32</v>
      </c>
      <c r="D110" s="107"/>
      <c r="E110" s="107"/>
      <c r="F110" s="107"/>
      <c r="G110" s="95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180"/>
      <c r="S110" s="180"/>
      <c r="T110" s="180"/>
      <c r="U110" s="9"/>
    </row>
    <row r="111" spans="1:21" s="10" customFormat="1" ht="15" x14ac:dyDescent="0.2">
      <c r="A111" s="154"/>
      <c r="B111" s="154"/>
      <c r="C111" s="153"/>
      <c r="D111" s="199"/>
      <c r="E111" s="199"/>
      <c r="F111" s="199"/>
      <c r="G111" s="153"/>
      <c r="H111" s="91"/>
      <c r="I111" s="91"/>
      <c r="J111" s="91"/>
      <c r="K111" s="91"/>
      <c r="L111" s="91"/>
      <c r="M111" s="91"/>
      <c r="N111" s="91"/>
      <c r="O111" s="91"/>
      <c r="P111" s="91"/>
      <c r="Q111" s="91"/>
      <c r="R111" s="180"/>
      <c r="S111" s="180"/>
      <c r="T111" s="180"/>
      <c r="U111" s="9"/>
    </row>
    <row r="112" spans="1:21" ht="15.75" x14ac:dyDescent="0.25">
      <c r="A112" s="159" t="s">
        <v>33</v>
      </c>
      <c r="B112" s="160"/>
      <c r="C112" s="200" t="s">
        <v>34</v>
      </c>
      <c r="D112" s="199" t="s">
        <v>18</v>
      </c>
      <c r="E112" s="199"/>
      <c r="F112" s="199"/>
      <c r="G112" s="199"/>
      <c r="H112" s="123">
        <f>SUM(H113:H113)</f>
        <v>0</v>
      </c>
      <c r="I112" s="88">
        <f t="shared" ref="I112:Q112" si="27">SUM(I113:I113)</f>
        <v>0</v>
      </c>
      <c r="J112" s="123">
        <f t="shared" si="27"/>
        <v>0</v>
      </c>
      <c r="K112" s="88">
        <f t="shared" si="27"/>
        <v>0</v>
      </c>
      <c r="L112" s="123">
        <f t="shared" si="27"/>
        <v>0</v>
      </c>
      <c r="M112" s="88">
        <f t="shared" si="27"/>
        <v>0</v>
      </c>
      <c r="N112" s="123">
        <f t="shared" si="27"/>
        <v>0</v>
      </c>
      <c r="O112" s="88">
        <f t="shared" si="27"/>
        <v>0</v>
      </c>
      <c r="P112" s="122">
        <f t="shared" si="27"/>
        <v>0</v>
      </c>
      <c r="Q112" s="88">
        <f t="shared" si="27"/>
        <v>0</v>
      </c>
      <c r="R112" s="125">
        <f>SUM(R113:R113)</f>
        <v>0</v>
      </c>
      <c r="S112" s="77">
        <f>SUM(S113:S113)</f>
        <v>0</v>
      </c>
      <c r="T112" s="125">
        <f>SUM(R112+S112)</f>
        <v>0</v>
      </c>
    </row>
    <row r="113" spans="1:21" s="10" customFormat="1" ht="15.75" x14ac:dyDescent="0.25">
      <c r="A113" s="159"/>
      <c r="B113" s="154"/>
      <c r="C113" s="107" t="s">
        <v>35</v>
      </c>
      <c r="D113" s="143">
        <v>0.5</v>
      </c>
      <c r="E113" s="298" t="s">
        <v>36</v>
      </c>
      <c r="F113" s="301"/>
      <c r="G113" s="301"/>
      <c r="H113" s="103">
        <f>+H109*$D$113</f>
        <v>0</v>
      </c>
      <c r="I113" s="81">
        <f t="shared" ref="I113:Q113" si="28">+I109*$D$113</f>
        <v>0</v>
      </c>
      <c r="J113" s="103">
        <f t="shared" si="28"/>
        <v>0</v>
      </c>
      <c r="K113" s="81">
        <f t="shared" si="28"/>
        <v>0</v>
      </c>
      <c r="L113" s="103">
        <f t="shared" si="28"/>
        <v>0</v>
      </c>
      <c r="M113" s="81">
        <f t="shared" si="28"/>
        <v>0</v>
      </c>
      <c r="N113" s="103">
        <f t="shared" si="28"/>
        <v>0</v>
      </c>
      <c r="O113" s="81">
        <f t="shared" si="28"/>
        <v>0</v>
      </c>
      <c r="P113" s="103">
        <f t="shared" si="28"/>
        <v>0</v>
      </c>
      <c r="Q113" s="81">
        <f t="shared" si="28"/>
        <v>0</v>
      </c>
      <c r="R113" s="105">
        <f>+R109*$D$113</f>
        <v>0</v>
      </c>
      <c r="S113" s="78">
        <f>+S109*$D$113</f>
        <v>0</v>
      </c>
      <c r="T113" s="105">
        <f t="shared" ref="T113" si="29">SUM(R113+S113)</f>
        <v>0</v>
      </c>
      <c r="U113" s="9"/>
    </row>
    <row r="114" spans="1:21" s="10" customFormat="1" ht="15.75" x14ac:dyDescent="0.25">
      <c r="A114" s="159"/>
      <c r="B114" s="154"/>
      <c r="C114" s="164"/>
      <c r="D114" s="185"/>
      <c r="E114" s="185"/>
      <c r="F114" s="185"/>
      <c r="G114" s="185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180"/>
      <c r="S114" s="180"/>
      <c r="T114" s="180"/>
      <c r="U114" s="9"/>
    </row>
    <row r="115" spans="1:21" s="10" customFormat="1" ht="15" hidden="1" x14ac:dyDescent="0.2">
      <c r="A115" s="154"/>
      <c r="B115" s="154"/>
      <c r="C115" s="154"/>
      <c r="D115" s="156"/>
      <c r="E115" s="156"/>
      <c r="F115" s="156"/>
      <c r="G115" s="156"/>
      <c r="H115" s="91"/>
      <c r="I115" s="91"/>
      <c r="J115" s="91"/>
      <c r="K115" s="91"/>
      <c r="L115" s="91"/>
      <c r="M115" s="91"/>
      <c r="N115" s="91"/>
      <c r="O115" s="91"/>
      <c r="P115" s="91"/>
      <c r="Q115" s="91"/>
      <c r="R115" s="180"/>
      <c r="S115" s="180"/>
      <c r="T115" s="180"/>
      <c r="U115" s="9"/>
    </row>
    <row r="116" spans="1:21" ht="15.75" x14ac:dyDescent="0.25">
      <c r="A116" s="159" t="s">
        <v>37</v>
      </c>
      <c r="B116" s="160"/>
      <c r="C116" s="161" t="s">
        <v>102</v>
      </c>
      <c r="D116" s="156"/>
      <c r="E116" s="156"/>
      <c r="F116" s="156"/>
      <c r="G116" s="156"/>
      <c r="H116" s="123">
        <f t="shared" ref="H116:Q116" si="30">H107+H112</f>
        <v>0</v>
      </c>
      <c r="I116" s="88">
        <f t="shared" si="30"/>
        <v>0</v>
      </c>
      <c r="J116" s="123">
        <f t="shared" si="30"/>
        <v>0</v>
      </c>
      <c r="K116" s="88">
        <f t="shared" si="30"/>
        <v>0</v>
      </c>
      <c r="L116" s="123">
        <f t="shared" si="30"/>
        <v>0</v>
      </c>
      <c r="M116" s="88">
        <f t="shared" si="30"/>
        <v>0</v>
      </c>
      <c r="N116" s="123">
        <f t="shared" si="30"/>
        <v>0</v>
      </c>
      <c r="O116" s="88">
        <f t="shared" si="30"/>
        <v>0</v>
      </c>
      <c r="P116" s="123">
        <f t="shared" si="30"/>
        <v>0</v>
      </c>
      <c r="Q116" s="88">
        <f t="shared" si="30"/>
        <v>0</v>
      </c>
      <c r="R116" s="125">
        <f>R107+R112</f>
        <v>0</v>
      </c>
      <c r="S116" s="77">
        <f>S107+S112</f>
        <v>0</v>
      </c>
      <c r="T116" s="125">
        <f>SUM(R116+S116)</f>
        <v>0</v>
      </c>
      <c r="U116" s="5"/>
    </row>
    <row r="117" spans="1:21" ht="15.75" hidden="1" x14ac:dyDescent="0.25">
      <c r="A117" s="201"/>
      <c r="B117" s="95"/>
      <c r="C117" s="202"/>
      <c r="D117" s="199"/>
      <c r="E117" s="199"/>
      <c r="F117" s="199"/>
      <c r="G117" s="199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203"/>
      <c r="S117" s="203"/>
      <c r="T117" s="203"/>
    </row>
    <row r="119" spans="1:21" x14ac:dyDescent="0.2">
      <c r="C119" s="204" t="s">
        <v>165</v>
      </c>
      <c r="J119" s="100"/>
      <c r="K119" s="100"/>
      <c r="L119" s="100"/>
      <c r="M119" s="100"/>
      <c r="U119"/>
    </row>
    <row r="120" spans="1:21" hidden="1" x14ac:dyDescent="0.2">
      <c r="C120" s="99"/>
      <c r="J120" s="100"/>
      <c r="K120" s="100"/>
      <c r="L120" s="100"/>
      <c r="M120" s="100"/>
      <c r="U120"/>
    </row>
    <row r="121" spans="1:21" ht="48" customHeight="1" x14ac:dyDescent="0.2">
      <c r="C121" s="297" t="s">
        <v>246</v>
      </c>
      <c r="D121" s="297"/>
      <c r="E121" s="297"/>
      <c r="F121" s="297"/>
      <c r="G121" s="297"/>
      <c r="H121" s="297"/>
      <c r="I121" s="297"/>
      <c r="J121" s="297"/>
      <c r="K121" s="297"/>
      <c r="L121" s="297"/>
      <c r="M121" s="297"/>
      <c r="N121" s="297"/>
      <c r="O121" s="297"/>
      <c r="P121" s="297"/>
      <c r="Q121" s="297"/>
      <c r="R121" s="297"/>
      <c r="S121" s="297"/>
      <c r="T121" s="297"/>
      <c r="U121"/>
    </row>
    <row r="122" spans="1:21" ht="53.25" customHeight="1" x14ac:dyDescent="0.2">
      <c r="C122" s="297" t="s">
        <v>243</v>
      </c>
      <c r="D122" s="297"/>
      <c r="E122" s="297"/>
      <c r="F122" s="297"/>
      <c r="G122" s="297"/>
      <c r="H122" s="297"/>
      <c r="I122" s="297"/>
      <c r="J122" s="297"/>
      <c r="K122" s="297"/>
      <c r="L122" s="297"/>
      <c r="M122" s="297"/>
      <c r="N122" s="297"/>
      <c r="O122" s="297"/>
      <c r="P122" s="297"/>
      <c r="Q122" s="297"/>
      <c r="R122" s="297"/>
      <c r="S122" s="297"/>
      <c r="T122" s="297"/>
      <c r="U122"/>
    </row>
    <row r="123" spans="1:21" ht="81" customHeight="1" x14ac:dyDescent="0.2">
      <c r="C123" s="297" t="s">
        <v>166</v>
      </c>
      <c r="D123" s="297"/>
      <c r="E123" s="297"/>
      <c r="F123" s="297"/>
      <c r="G123" s="297"/>
      <c r="H123" s="297"/>
      <c r="I123" s="297"/>
      <c r="J123" s="297"/>
      <c r="K123" s="297"/>
      <c r="L123" s="297"/>
      <c r="M123" s="297"/>
      <c r="N123" s="297"/>
      <c r="O123" s="297"/>
      <c r="P123" s="297"/>
      <c r="Q123" s="297"/>
      <c r="R123" s="297"/>
      <c r="S123" s="297"/>
      <c r="T123" s="297"/>
    </row>
    <row r="124" spans="1:21" ht="62.25" customHeight="1" x14ac:dyDescent="0.2">
      <c r="C124" s="297" t="s">
        <v>248</v>
      </c>
      <c r="D124" s="297"/>
      <c r="E124" s="297"/>
      <c r="F124" s="297"/>
      <c r="G124" s="297"/>
      <c r="H124" s="297"/>
      <c r="I124" s="297"/>
      <c r="J124" s="297"/>
      <c r="K124" s="297"/>
      <c r="L124" s="297"/>
      <c r="M124" s="297"/>
      <c r="N124" s="297"/>
      <c r="O124" s="297"/>
      <c r="P124" s="297"/>
      <c r="Q124" s="297"/>
      <c r="R124" s="297"/>
      <c r="S124" s="297"/>
      <c r="T124" s="297"/>
    </row>
  </sheetData>
  <mergeCells count="20">
    <mergeCell ref="C121:T121"/>
    <mergeCell ref="C122:T122"/>
    <mergeCell ref="C123:T123"/>
    <mergeCell ref="C124:T124"/>
    <mergeCell ref="D76:G76"/>
    <mergeCell ref="D77:G77"/>
    <mergeCell ref="D80:G80"/>
    <mergeCell ref="D81:G81"/>
    <mergeCell ref="D82:G82"/>
    <mergeCell ref="E113:G113"/>
    <mergeCell ref="S9:S10"/>
    <mergeCell ref="T9:T10"/>
    <mergeCell ref="S1:T1"/>
    <mergeCell ref="H9:I9"/>
    <mergeCell ref="J9:K9"/>
    <mergeCell ref="L9:M9"/>
    <mergeCell ref="N9:O9"/>
    <mergeCell ref="P9:Q9"/>
    <mergeCell ref="R9:R10"/>
    <mergeCell ref="S2:T2"/>
  </mergeCells>
  <phoneticPr fontId="5" type="noConversion"/>
  <printOptions horizontalCentered="1"/>
  <pageMargins left="0.75" right="0.75" top="1" bottom="1" header="0.5" footer="0.5"/>
  <pageSetup scale="42" orientation="portrait" horizontalDpi="1200" verticalDpi="1200" r:id="rId1"/>
  <headerFooter alignWithMargins="0"/>
  <ignoredErrors>
    <ignoredError sqref="C48:C49 C43 C50:C66 R107:S107 S109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C00000"/>
    <pageSetUpPr fitToPage="1"/>
  </sheetPr>
  <dimension ref="A1:S138"/>
  <sheetViews>
    <sheetView showZeros="0" zoomScale="75" zoomScaleNormal="85" zoomScaleSheetLayoutView="70" workbookViewId="0">
      <pane xSplit="9" ySplit="4" topLeftCell="J5" activePane="bottomRight" state="frozen"/>
      <selection activeCell="A12" sqref="A12"/>
      <selection pane="topRight" activeCell="A12" sqref="A12"/>
      <selection pane="bottomLeft" activeCell="A12" sqref="A12"/>
      <selection pane="bottomRight" activeCell="C19" sqref="C19:D19"/>
    </sheetView>
  </sheetViews>
  <sheetFormatPr defaultRowHeight="12.75" x14ac:dyDescent="0.2"/>
  <cols>
    <col min="2" max="2" width="1.7109375" customWidth="1"/>
    <col min="4" max="4" width="1.7109375" customWidth="1"/>
    <col min="9" max="9" width="16.28515625" customWidth="1"/>
    <col min="10" max="10" width="2.7109375" customWidth="1"/>
    <col min="11" max="11" width="12.28515625" customWidth="1"/>
    <col min="12" max="12" width="2.7109375" customWidth="1"/>
    <col min="13" max="13" width="12.28515625" customWidth="1"/>
    <col min="14" max="14" width="2.7109375" customWidth="1"/>
    <col min="15" max="15" width="12.28515625" customWidth="1"/>
    <col min="16" max="16" width="2.7109375" customWidth="1"/>
    <col min="17" max="17" width="12.28515625" customWidth="1"/>
    <col min="18" max="18" width="2.7109375" customWidth="1"/>
    <col min="19" max="19" width="12.28515625" customWidth="1"/>
  </cols>
  <sheetData>
    <row r="1" spans="1:19" s="12" customFormat="1" ht="15.75" x14ac:dyDescent="0.25">
      <c r="C1" s="14" t="s">
        <v>91</v>
      </c>
      <c r="K1" s="8" t="s">
        <v>5</v>
      </c>
      <c r="M1" s="8" t="s">
        <v>40</v>
      </c>
      <c r="O1" s="8" t="s">
        <v>45</v>
      </c>
      <c r="Q1" s="8" t="s">
        <v>44</v>
      </c>
      <c r="S1" s="8" t="s">
        <v>43</v>
      </c>
    </row>
    <row r="2" spans="1:19" s="16" customFormat="1" x14ac:dyDescent="0.2">
      <c r="C2" s="17"/>
      <c r="K2" s="7"/>
      <c r="M2" s="7"/>
      <c r="O2" s="7"/>
      <c r="Q2" s="7"/>
      <c r="S2" s="7"/>
    </row>
    <row r="3" spans="1:19" s="13" customFormat="1" ht="25.5" x14ac:dyDescent="0.2">
      <c r="C3" s="317"/>
      <c r="D3" s="317"/>
      <c r="E3" s="317"/>
      <c r="F3" s="317"/>
      <c r="G3" s="317"/>
      <c r="H3" s="317"/>
      <c r="I3" s="317"/>
      <c r="K3" s="13" t="s">
        <v>70</v>
      </c>
      <c r="M3" s="13" t="s">
        <v>70</v>
      </c>
      <c r="O3" s="13" t="s">
        <v>70</v>
      </c>
      <c r="Q3" s="13" t="s">
        <v>70</v>
      </c>
      <c r="S3" s="13" t="s">
        <v>70</v>
      </c>
    </row>
    <row r="4" spans="1:19" s="12" customFormat="1" ht="6" customHeight="1" x14ac:dyDescent="0.2"/>
    <row r="5" spans="1:19" s="12" customFormat="1" ht="6" customHeight="1" x14ac:dyDescent="0.2">
      <c r="C5" s="11"/>
      <c r="D5" s="11"/>
      <c r="E5" s="11"/>
      <c r="F5" s="11"/>
      <c r="G5" s="11"/>
      <c r="H5" s="11"/>
      <c r="I5" s="11"/>
      <c r="K5" s="15"/>
      <c r="M5" s="15"/>
      <c r="O5" s="15"/>
      <c r="Q5" s="15"/>
      <c r="S5" s="15"/>
    </row>
    <row r="6" spans="1:19" s="12" customFormat="1" ht="30" customHeight="1" x14ac:dyDescent="0.25">
      <c r="A6" s="61">
        <v>8</v>
      </c>
      <c r="C6" s="312" t="s">
        <v>46</v>
      </c>
      <c r="D6" s="312"/>
      <c r="E6" s="312"/>
      <c r="F6" s="312"/>
      <c r="G6" s="59" t="s">
        <v>47</v>
      </c>
      <c r="H6" s="11"/>
      <c r="I6" s="60" t="s">
        <v>48</v>
      </c>
      <c r="K6" s="15">
        <f>ROUND(IF(I6="1/2-time",K7,K8),0)</f>
        <v>7171</v>
      </c>
      <c r="M6" s="15">
        <f>ROUND(IF(I6="1/2-time",M7,M8),0)</f>
        <v>0</v>
      </c>
      <c r="O6" s="15">
        <f>ROUND(IF(I6="1/2-time",O7,O8),0)</f>
        <v>0</v>
      </c>
      <c r="Q6" s="15">
        <f>ROUND(IF(I6="1/2-time",Q7,Q8),0)</f>
        <v>0</v>
      </c>
      <c r="S6" s="15">
        <f>ROUND(IF(I6="1/2-time",S7,S8),0)</f>
        <v>0</v>
      </c>
    </row>
    <row r="7" spans="1:19" s="12" customFormat="1" ht="15" hidden="1" x14ac:dyDescent="0.2">
      <c r="A7" s="12">
        <v>8</v>
      </c>
      <c r="C7" s="313" t="s">
        <v>49</v>
      </c>
      <c r="D7" s="313"/>
      <c r="E7" s="313"/>
      <c r="F7" s="313"/>
      <c r="G7" s="11"/>
      <c r="H7" s="11"/>
      <c r="I7" s="11" t="s">
        <v>50</v>
      </c>
      <c r="K7" s="15">
        <f>+C13*VLOOKUP(K13,$I$53:$Q$109,5,FALSE)+C15*VLOOKUP(K15,$I$53:$Q$109,5,FALSE)+C17*VLOOKUP(K17,$I$53:$Q$109,5,FALSE)+C19*VLOOKUP(K19,$I$53:$Q$109,9,FALSE)+C21*VLOOKUP(K21,$I$53:$Q$109,9,FALSE)+C23*VLOOKUP(K23,$I$53:$Q$109,9,FALSE)</f>
        <v>7171</v>
      </c>
      <c r="M7" s="15">
        <f>+E13*VLOOKUP(M13,$I$53:$Q$109,5,FALSE)+E15*VLOOKUP(M15,$I$53:$Q$109,5,FALSE)+E17*VLOOKUP(M17,$I$53:$Q$109,5,FALSE)+E19*VLOOKUP(M19,$I$53:$Q$109,9,FALSE)+E21*VLOOKUP(M21,$I$53:$Q$109,9,FALSE)+E23*VLOOKUP(M23,$I$53:$Q$109,9,FALSE)</f>
        <v>0</v>
      </c>
      <c r="O7" s="15">
        <f>+F13*VLOOKUP(O13,$I$53:$Q$109,5,FALSE)+F15*VLOOKUP(O15,$I$53:$Q$109,5,FALSE)+F17*VLOOKUP(O17,$I$53:$Q$109,5,FALSE)+F19*VLOOKUP(O19,$I$53:$Q$109,9,FALSE)+F21*VLOOKUP(O21,$I$53:$Q$109,9,FALSE)+F23*VLOOKUP(O23,$I$53:$Q$109,9,FALSE)</f>
        <v>0</v>
      </c>
      <c r="Q7" s="15">
        <f>+G13*VLOOKUP(Q13,$I$53:$Q$109,5,FALSE)+G15*VLOOKUP(Q15,$I$53:$Q$109,5,FALSE)+G17*VLOOKUP(Q17,$I$53:$Q$109,5,FALSE)+G19*VLOOKUP(Q19,$I$53:$Q$109,9,FALSE)+G21*VLOOKUP(Q21,$I$53:$Q$109,9,FALSE)+G23*VLOOKUP(Q23,$I$53:$Q$109,9,FALSE)</f>
        <v>0</v>
      </c>
      <c r="S7" s="15">
        <f>+H13*VLOOKUP(S13,$I$53:$Q$109,5,FALSE)+H15*VLOOKUP(S15,$I$53:$Q$109,5,FALSE)+H17*VLOOKUP(S17,$I$53:$Q$109,5,FALSE)+H19*VLOOKUP(S19,$I$53:$Q$109,9,FALSE)+H21*VLOOKUP(S21,$I$53:$Q$109,9,FALSE)+H23*VLOOKUP(S23,$I$53:$Q$109,9,FALSE)</f>
        <v>0</v>
      </c>
    </row>
    <row r="8" spans="1:19" s="12" customFormat="1" ht="15" hidden="1" x14ac:dyDescent="0.2">
      <c r="A8" s="12">
        <v>8</v>
      </c>
      <c r="C8" s="313" t="s">
        <v>49</v>
      </c>
      <c r="D8" s="313"/>
      <c r="E8" s="313"/>
      <c r="F8" s="313"/>
      <c r="G8" s="11"/>
      <c r="H8" s="11"/>
      <c r="I8" s="11" t="s">
        <v>51</v>
      </c>
      <c r="K8" s="15">
        <f>+C13*VLOOKUP(K13,$I$53:$Q$109,3,FALSE)+C15*VLOOKUP(K15,$I$53:$Q$109,3,FALSE)+C17*VLOOKUP(K17,$I$53:$Q$109,3,FALSE)+C19*VLOOKUP(K19,$I$53:$Q$109,7,FALSE)+C21*VLOOKUP(K21,$I$53:$Q$109,7,FALSE)+C23*VLOOKUP(K23,$I$53:$Q$109,7,FALSE)</f>
        <v>3586</v>
      </c>
      <c r="M8" s="15">
        <f>+E13*VLOOKUP(M13,$I$53:$Q$109,3,FALSE)+E15*VLOOKUP(M15,$I$53:$Q$109,3,FALSE)+E17*VLOOKUP(M17,$I$53:$Q$109,3,FALSE)+E19*VLOOKUP(M19,$I$53:$Q$109,7,FALSE)+E21*VLOOKUP(M21,$I$53:$Q$109,7,FALSE)+E23*VLOOKUP(M23,$I$53:$Q$109,7,FALSE)</f>
        <v>0</v>
      </c>
      <c r="O8" s="15">
        <f>+F13*VLOOKUP(O13,$I$53:$Q$109,3,FALSE)+F15*VLOOKUP(O15,$I$53:$Q$109,3,FALSE)+F17*VLOOKUP(O17,$I$53:$Q$109,3,FALSE)+F19*VLOOKUP(O19,$I$53:$Q$109,7,FALSE)+F21*VLOOKUP(O21,$I$53:$Q$109,7,FALSE)+F23*VLOOKUP(O23,$I$53:$Q$109,7,FALSE)</f>
        <v>0</v>
      </c>
      <c r="Q8" s="15">
        <f>+G13*VLOOKUP(Q13,$I$53:$Q$84,3,FALSE)+G15*VLOOKUP(Q15,$I$53:$Q$84,3,FALSE)+G17*VLOOKUP(Q17,$I$53:$Q$84,3,FALSE)+G19*VLOOKUP(Q19,$I$53:$Q$84,7,FALSE)+G21*VLOOKUP(Q21,$I$53:$Q$84,7,FALSE)+G23*VLOOKUP(Q23,$I$53:$Q$84,7,FALSE)</f>
        <v>0</v>
      </c>
      <c r="S8" s="15">
        <f>+H13*VLOOKUP(S13,$I$53:$Q$84,3,FALSE)+H15*VLOOKUP(S15,$I$53:$Q$84,3,FALSE)+H17*VLOOKUP(S17,$I$53:$Q$84,3,FALSE)+H19*VLOOKUP(S19,$I$53:$Q$84,7,FALSE)+H21*VLOOKUP(S21,$I$53:$Q$84,7,FALSE)+H23*VLOOKUP(S23,$I$53:$Q$84,7,FALSE)</f>
        <v>0</v>
      </c>
    </row>
    <row r="9" spans="1:19" s="12" customFormat="1" ht="6" customHeight="1" x14ac:dyDescent="0.2">
      <c r="C9" s="54"/>
      <c r="D9" s="54"/>
      <c r="E9" s="54"/>
      <c r="F9" s="54"/>
      <c r="G9" s="54"/>
      <c r="H9" s="54"/>
      <c r="I9" s="55"/>
      <c r="J9" s="56"/>
      <c r="K9" s="56"/>
      <c r="L9" s="56"/>
      <c r="M9" s="56"/>
      <c r="N9" s="56"/>
      <c r="O9" s="56"/>
      <c r="P9" s="56"/>
      <c r="Q9" s="56"/>
      <c r="R9" s="56"/>
      <c r="S9" s="56"/>
    </row>
    <row r="10" spans="1:19" s="18" customFormat="1" ht="6" customHeight="1" x14ac:dyDescent="0.2">
      <c r="A10" s="41"/>
      <c r="C10" s="57"/>
      <c r="D10" s="57"/>
      <c r="E10" s="57"/>
      <c r="F10" s="58"/>
      <c r="G10" s="58"/>
      <c r="H10" s="57"/>
      <c r="I10" s="45"/>
      <c r="J10" s="39"/>
      <c r="K10" s="45"/>
      <c r="L10" s="45"/>
      <c r="M10" s="45"/>
      <c r="N10" s="45"/>
      <c r="O10" s="45"/>
      <c r="P10" s="45"/>
      <c r="Q10" s="45"/>
      <c r="R10" s="45"/>
      <c r="S10" s="45"/>
    </row>
    <row r="11" spans="1:19" s="18" customFormat="1" ht="24.95" customHeight="1" x14ac:dyDescent="0.2">
      <c r="A11" s="41"/>
      <c r="C11" s="314" t="s">
        <v>52</v>
      </c>
      <c r="D11" s="315"/>
      <c r="E11" s="315"/>
      <c r="F11" s="315"/>
      <c r="G11" s="315"/>
      <c r="H11" s="316"/>
      <c r="I11" s="45"/>
      <c r="J11" s="39"/>
      <c r="K11" s="45"/>
      <c r="L11" s="45"/>
      <c r="M11" s="45"/>
      <c r="N11" s="45"/>
      <c r="O11" s="45"/>
      <c r="P11" s="45"/>
      <c r="Q11" s="45"/>
      <c r="R11" s="45"/>
      <c r="S11" s="45"/>
    </row>
    <row r="12" spans="1:19" s="16" customFormat="1" ht="12" customHeight="1" x14ac:dyDescent="0.2">
      <c r="C12" s="25" t="s">
        <v>5</v>
      </c>
      <c r="D12" s="25"/>
      <c r="E12" s="25" t="s">
        <v>40</v>
      </c>
      <c r="F12" s="25" t="s">
        <v>45</v>
      </c>
      <c r="G12" s="25" t="s">
        <v>44</v>
      </c>
      <c r="H12" s="25" t="s">
        <v>43</v>
      </c>
      <c r="I12" s="25"/>
      <c r="J12" s="26"/>
      <c r="K12" s="26"/>
      <c r="L12" s="26"/>
      <c r="M12" s="26"/>
      <c r="N12" s="26"/>
      <c r="O12" s="26"/>
      <c r="P12" s="26"/>
      <c r="Q12" s="26"/>
      <c r="R12" s="26"/>
      <c r="S12" s="26"/>
    </row>
    <row r="13" spans="1:19" s="18" customFormat="1" ht="24.95" customHeight="1" x14ac:dyDescent="0.2">
      <c r="A13" s="309" t="s">
        <v>53</v>
      </c>
      <c r="C13" s="306">
        <v>1</v>
      </c>
      <c r="D13" s="306"/>
      <c r="E13" s="35"/>
      <c r="F13" s="35"/>
      <c r="G13" s="36"/>
      <c r="H13" s="35"/>
      <c r="I13" s="20" t="s">
        <v>7</v>
      </c>
      <c r="K13" s="38" t="s">
        <v>55</v>
      </c>
      <c r="L13" s="20"/>
      <c r="M13" s="38" t="s">
        <v>56</v>
      </c>
      <c r="N13" s="20"/>
      <c r="O13" s="38" t="s">
        <v>57</v>
      </c>
      <c r="P13" s="20"/>
      <c r="Q13" s="38" t="s">
        <v>83</v>
      </c>
      <c r="R13" s="20"/>
      <c r="S13" s="38" t="s">
        <v>84</v>
      </c>
    </row>
    <row r="14" spans="1:19" s="18" customFormat="1" ht="6" customHeight="1" x14ac:dyDescent="0.2">
      <c r="A14" s="310"/>
      <c r="C14" s="29"/>
      <c r="D14" s="29"/>
      <c r="E14" s="30"/>
      <c r="F14" s="30"/>
      <c r="G14" s="30"/>
      <c r="H14" s="30"/>
      <c r="I14" s="20"/>
      <c r="K14" s="20"/>
      <c r="L14" s="20"/>
      <c r="M14" s="20"/>
      <c r="N14" s="20"/>
      <c r="O14" s="20"/>
      <c r="P14" s="20"/>
      <c r="Q14" s="20"/>
      <c r="R14" s="20"/>
      <c r="S14" s="20"/>
    </row>
    <row r="15" spans="1:19" s="18" customFormat="1" ht="24.95" customHeight="1" x14ac:dyDescent="0.2">
      <c r="A15" s="310"/>
      <c r="C15" s="306">
        <v>1</v>
      </c>
      <c r="D15" s="306"/>
      <c r="E15" s="35"/>
      <c r="F15" s="37"/>
      <c r="G15" s="36"/>
      <c r="H15" s="35"/>
      <c r="I15" s="20" t="s">
        <v>58</v>
      </c>
      <c r="K15" s="38" t="s">
        <v>60</v>
      </c>
      <c r="L15" s="20"/>
      <c r="M15" s="38" t="s">
        <v>61</v>
      </c>
      <c r="N15" s="20"/>
      <c r="O15" s="38" t="s">
        <v>62</v>
      </c>
      <c r="P15" s="20"/>
      <c r="Q15" s="38" t="s">
        <v>77</v>
      </c>
      <c r="R15" s="20"/>
      <c r="S15" s="38" t="s">
        <v>78</v>
      </c>
    </row>
    <row r="16" spans="1:19" s="18" customFormat="1" ht="6" customHeight="1" x14ac:dyDescent="0.2">
      <c r="A16" s="310"/>
      <c r="C16" s="29"/>
      <c r="D16" s="29"/>
      <c r="E16" s="30"/>
      <c r="F16" s="30"/>
      <c r="G16" s="30"/>
      <c r="H16" s="30"/>
      <c r="I16" s="20"/>
      <c r="K16" s="20"/>
      <c r="L16" s="20"/>
      <c r="M16" s="20"/>
      <c r="N16" s="20"/>
      <c r="O16" s="20"/>
      <c r="P16" s="20"/>
      <c r="Q16" s="20"/>
      <c r="R16" s="20"/>
      <c r="S16" s="20"/>
    </row>
    <row r="17" spans="1:19" s="18" customFormat="1" ht="24.95" customHeight="1" x14ac:dyDescent="0.2">
      <c r="A17" s="310"/>
      <c r="C17" s="306">
        <v>1</v>
      </c>
      <c r="D17" s="306"/>
      <c r="E17" s="35">
        <v>0</v>
      </c>
      <c r="F17" s="37">
        <v>0</v>
      </c>
      <c r="G17" s="36">
        <v>0</v>
      </c>
      <c r="H17" s="35">
        <v>0</v>
      </c>
      <c r="I17" s="20" t="s">
        <v>38</v>
      </c>
      <c r="K17" s="38" t="s">
        <v>64</v>
      </c>
      <c r="L17" s="20"/>
      <c r="M17" s="38" t="s">
        <v>65</v>
      </c>
      <c r="N17" s="20"/>
      <c r="O17" s="38" t="s">
        <v>66</v>
      </c>
      <c r="P17" s="20"/>
      <c r="Q17" s="38" t="s">
        <v>80</v>
      </c>
      <c r="R17" s="20"/>
      <c r="S17" s="38" t="s">
        <v>81</v>
      </c>
    </row>
    <row r="18" spans="1:19" s="18" customFormat="1" ht="12" customHeight="1" x14ac:dyDescent="0.2">
      <c r="C18" s="31"/>
      <c r="D18" s="31"/>
      <c r="E18" s="31"/>
      <c r="F18" s="31"/>
      <c r="G18" s="31"/>
      <c r="H18" s="31"/>
      <c r="I18" s="27"/>
      <c r="J18" s="28"/>
      <c r="K18" s="32"/>
      <c r="L18" s="32"/>
      <c r="M18" s="32"/>
      <c r="N18" s="32"/>
      <c r="O18" s="32"/>
      <c r="P18" s="32"/>
      <c r="Q18" s="32"/>
      <c r="R18" s="32"/>
      <c r="S18" s="32"/>
    </row>
    <row r="19" spans="1:19" s="18" customFormat="1" ht="24.95" customHeight="1" x14ac:dyDescent="0.2">
      <c r="A19" s="309" t="s">
        <v>67</v>
      </c>
      <c r="C19" s="306">
        <v>1</v>
      </c>
      <c r="D19" s="306"/>
      <c r="E19" s="35"/>
      <c r="F19" s="35"/>
      <c r="G19" s="36"/>
      <c r="H19" s="35"/>
      <c r="I19" s="20" t="s">
        <v>7</v>
      </c>
      <c r="K19" s="38" t="s">
        <v>55</v>
      </c>
      <c r="L19" s="20"/>
      <c r="M19" s="38" t="s">
        <v>56</v>
      </c>
      <c r="N19" s="20"/>
      <c r="O19" s="38" t="s">
        <v>57</v>
      </c>
      <c r="P19" s="20"/>
      <c r="Q19" s="38" t="s">
        <v>83</v>
      </c>
      <c r="R19" s="20"/>
      <c r="S19" s="38" t="s">
        <v>84</v>
      </c>
    </row>
    <row r="20" spans="1:19" s="18" customFormat="1" ht="6" customHeight="1" x14ac:dyDescent="0.2">
      <c r="A20" s="310"/>
      <c r="C20" s="29"/>
      <c r="D20" s="29"/>
      <c r="E20" s="30"/>
      <c r="F20" s="30"/>
      <c r="G20" s="30"/>
      <c r="H20" s="30"/>
      <c r="I20" s="20"/>
      <c r="K20" s="20"/>
      <c r="L20" s="20"/>
      <c r="M20" s="20"/>
      <c r="N20" s="20"/>
      <c r="O20" s="20"/>
      <c r="P20" s="20"/>
      <c r="Q20" s="20"/>
      <c r="R20" s="20"/>
      <c r="S20" s="20"/>
    </row>
    <row r="21" spans="1:19" s="18" customFormat="1" ht="24.95" customHeight="1" x14ac:dyDescent="0.2">
      <c r="A21" s="310"/>
      <c r="C21" s="306"/>
      <c r="D21" s="306"/>
      <c r="E21" s="35"/>
      <c r="F21" s="37"/>
      <c r="G21" s="36"/>
      <c r="H21" s="35"/>
      <c r="I21" s="20" t="s">
        <v>58</v>
      </c>
      <c r="K21" s="38" t="s">
        <v>60</v>
      </c>
      <c r="L21" s="20"/>
      <c r="M21" s="38" t="s">
        <v>61</v>
      </c>
      <c r="N21" s="20"/>
      <c r="O21" s="38" t="s">
        <v>62</v>
      </c>
      <c r="P21" s="20"/>
      <c r="Q21" s="38" t="s">
        <v>77</v>
      </c>
      <c r="R21" s="20"/>
      <c r="S21" s="38" t="s">
        <v>78</v>
      </c>
    </row>
    <row r="22" spans="1:19" s="18" customFormat="1" ht="6" customHeight="1" x14ac:dyDescent="0.2">
      <c r="A22" s="310"/>
      <c r="C22" s="29"/>
      <c r="D22" s="29"/>
      <c r="E22" s="30"/>
      <c r="F22" s="30"/>
      <c r="G22" s="30"/>
      <c r="H22" s="30"/>
      <c r="I22" s="20"/>
      <c r="K22" s="20"/>
      <c r="L22" s="20"/>
      <c r="M22" s="20"/>
      <c r="N22" s="20"/>
      <c r="O22" s="20"/>
      <c r="P22" s="20"/>
      <c r="Q22" s="20"/>
      <c r="R22" s="20"/>
      <c r="S22" s="20"/>
    </row>
    <row r="23" spans="1:19" s="18" customFormat="1" ht="24.95" customHeight="1" x14ac:dyDescent="0.2">
      <c r="A23" s="310"/>
      <c r="C23" s="311"/>
      <c r="D23" s="311"/>
      <c r="E23" s="42"/>
      <c r="F23" s="43"/>
      <c r="G23" s="44"/>
      <c r="H23" s="42"/>
      <c r="I23" s="20">
        <v>1</v>
      </c>
      <c r="K23" s="38" t="s">
        <v>64</v>
      </c>
      <c r="L23" s="20"/>
      <c r="M23" s="38" t="s">
        <v>65</v>
      </c>
      <c r="N23" s="20"/>
      <c r="O23" s="38" t="s">
        <v>66</v>
      </c>
      <c r="P23" s="20"/>
      <c r="Q23" s="38" t="s">
        <v>80</v>
      </c>
      <c r="R23" s="20"/>
      <c r="S23" s="38" t="s">
        <v>81</v>
      </c>
    </row>
    <row r="24" spans="1:19" s="12" customFormat="1" ht="6" customHeight="1" x14ac:dyDescent="0.2">
      <c r="C24" s="54"/>
      <c r="D24" s="54"/>
      <c r="E24" s="54"/>
      <c r="F24" s="54"/>
      <c r="G24" s="54"/>
      <c r="H24" s="54"/>
      <c r="I24" s="55"/>
      <c r="J24" s="56"/>
      <c r="K24" s="56"/>
      <c r="L24" s="56"/>
      <c r="M24" s="56"/>
      <c r="N24" s="56"/>
      <c r="O24" s="56"/>
      <c r="P24" s="56"/>
      <c r="Q24" s="56"/>
      <c r="R24" s="56"/>
      <c r="S24" s="56"/>
    </row>
    <row r="25" spans="1:19" s="34" customFormat="1" ht="6" customHeight="1" x14ac:dyDescent="0.2"/>
    <row r="26" spans="1:19" s="12" customFormat="1" ht="30" customHeight="1" x14ac:dyDescent="0.25">
      <c r="A26" s="61">
        <v>8</v>
      </c>
      <c r="C26" s="312" t="s">
        <v>68</v>
      </c>
      <c r="D26" s="312"/>
      <c r="E26" s="312"/>
      <c r="F26" s="312"/>
      <c r="G26" s="59" t="s">
        <v>47</v>
      </c>
      <c r="H26" s="11"/>
      <c r="I26" s="60" t="s">
        <v>48</v>
      </c>
      <c r="K26" s="15">
        <f>ROUND(IF($I$26="1/2-time",K27,K28),0)</f>
        <v>0</v>
      </c>
      <c r="M26" s="15">
        <f>ROUND(IF($I$26="1/2-time",M27,M28),0)</f>
        <v>0</v>
      </c>
      <c r="O26" s="15">
        <f>ROUND(IF($I$26="1/2-time",O27,O28),0)</f>
        <v>0</v>
      </c>
      <c r="Q26" s="15">
        <f>ROUND(IF($I$26="1/2-time",Q27,Q28),0)</f>
        <v>0</v>
      </c>
      <c r="S26" s="15">
        <f>ROUND(IF($I$26="1/2-time",S27,S28),0)</f>
        <v>0</v>
      </c>
    </row>
    <row r="27" spans="1:19" s="12" customFormat="1" ht="15" hidden="1" x14ac:dyDescent="0.2">
      <c r="A27" s="12">
        <v>8</v>
      </c>
      <c r="C27" s="313" t="s">
        <v>49</v>
      </c>
      <c r="D27" s="313"/>
      <c r="E27" s="313"/>
      <c r="F27" s="313"/>
      <c r="G27" s="11"/>
      <c r="H27" s="11"/>
      <c r="I27" s="11" t="s">
        <v>50</v>
      </c>
      <c r="K27" s="15">
        <f>+C33*VLOOKUP(K33,$I$83:$Q$109,5,FALSE)+C35*VLOOKUP(K35,$I$83:$Q$109,5,FALSE)+C37*VLOOKUP(K37,$I$83:$Q$109,5,FALSE)+C39*VLOOKUP(K39,$I$83:$Q$109,9,FALSE)+C41*VLOOKUP(K41,$I$83:$Q$109,9,FALSE)+C43*VLOOKUP(K43,$I$83:$Q$109,9,FALSE)</f>
        <v>0</v>
      </c>
      <c r="L27" s="15"/>
      <c r="M27" s="15">
        <f>+E33*VLOOKUP(M33,$I$83:$Q$109,5,FALSE)+E35*VLOOKUP(M35,$I$83:$Q$109,5,FALSE)+E37*VLOOKUP(M37,$I$83:$Q$109,5,FALSE)+E39*VLOOKUP(M39,$I$83:$Q$109,9,FALSE)+E41*VLOOKUP(M41,$I$83:$Q$109,9,FALSE)+E43*VLOOKUP(M43,$I$83:$Q$109,9,FALSE)</f>
        <v>0</v>
      </c>
      <c r="N27" s="15"/>
      <c r="O27" s="15">
        <f>+F33*VLOOKUP(O33,$I$83:$Q$109,5,FALSE)+F35*VLOOKUP(O35,$I$83:$Q$109,5,FALSE)+F37*VLOOKUP(O37,$I$83:$Q$109,5,FALSE)+F39*VLOOKUP(O39,$I$83:$Q$109,9,FALSE)+F41*VLOOKUP(O41,$I$83:$Q$109,9,FALSE)+F43*VLOOKUP(O43,$I$83:$Q$109,9,FALSE)</f>
        <v>0</v>
      </c>
      <c r="P27" s="15"/>
      <c r="Q27" s="15">
        <f>+G33*VLOOKUP(Q33,$I$83:$Q$109,5,FALSE)+G35*VLOOKUP(Q35,$I$83:$Q$109,5,FALSE)+G37*VLOOKUP(Q37,$I$83:$Q$109,5,FALSE)+G39*VLOOKUP(Q39,$I$83:$Q$109,9,FALSE)+G41*VLOOKUP(Q41,$I$83:$Q$109,9,FALSE)+G43*VLOOKUP(Q43,$I$83:$Q$109,9,FALSE)</f>
        <v>0</v>
      </c>
      <c r="R27" s="15"/>
      <c r="S27" s="15">
        <f>+H33*VLOOKUP(S33,$I$83:$Q$109,5,FALSE)+H35*VLOOKUP(S35,$I$83:$Q$109,5,FALSE)+H37*VLOOKUP(S37,$I$83:$Q$109,5,FALSE)+H39*VLOOKUP(S39,$I$83:$Q$109,9,FALSE)+H41*VLOOKUP(S41,$I$83:$Q$109,9,FALSE)+H43*VLOOKUP(S43,$I$83:$Q$109,9,FALSE)</f>
        <v>0</v>
      </c>
    </row>
    <row r="28" spans="1:19" s="12" customFormat="1" ht="18" hidden="1" customHeight="1" x14ac:dyDescent="0.2">
      <c r="A28" s="12">
        <v>8</v>
      </c>
      <c r="C28" s="313" t="s">
        <v>49</v>
      </c>
      <c r="D28" s="313"/>
      <c r="E28" s="313"/>
      <c r="F28" s="313"/>
      <c r="G28" s="11"/>
      <c r="H28" s="11"/>
      <c r="I28" s="11" t="s">
        <v>51</v>
      </c>
      <c r="K28" s="15">
        <f>+C33*VLOOKUP(K33,$I$83:$Q$109,3,FALSE)+C35*VLOOKUP(K35,$I$83:$Q$109,3,FALSE)+C37*VLOOKUP(K37,$I$83:$Q$109,3,FALSE)+C39*VLOOKUP(K39,$I$83:$Q$109,7,FALSE)+C41*VLOOKUP(K41,$I$83:$Q$109,7,FALSE)+C43*VLOOKUP(K43,$I$83:$Q$109,7,FALSE)</f>
        <v>0</v>
      </c>
      <c r="M28" s="15">
        <f>+E33*VLOOKUP(M33,$I$83:$Q$109,3,FALSE)+E35*VLOOKUP(M35,$I$83:$Q$109,3,FALSE)+E37*VLOOKUP(M37,$I$83:$Q$109,3,FALSE)+E39*VLOOKUP(M39,$I$83:$Q$109,7,FALSE)+E41*VLOOKUP(M41,$I$83:$Q$109,7,FALSE)+E43*VLOOKUP(M43,$I$83:$Q$109,7,FALSE)</f>
        <v>0</v>
      </c>
      <c r="O28" s="15">
        <f>+F33*VLOOKUP(O33,$I$83:$Q$109,3,FALSE)+F35*VLOOKUP(O35,$I$83:$Q$109,3,FALSE)+F37*VLOOKUP(O37,$I$83:$Q$109,3,FALSE)+F39*VLOOKUP(O39,$I$83:$Q$109,7,FALSE)+F41*VLOOKUP(O41,$I$83:$Q$109,7,FALSE)+F43*VLOOKUP(O43,$I$83:$Q$109,7,FALSE)</f>
        <v>0</v>
      </c>
      <c r="Q28" s="15">
        <f>+G33*VLOOKUP(Q33,$I$83:$Q$109,3,FALSE)+G35*VLOOKUP(Q35,$I$83:$Q$109,3,FALSE)+G37*VLOOKUP(Q37,$I$83:$Q$109,3,FALSE)+G39*VLOOKUP(Q39,$I$83:$Q$109,7,FALSE)+G41*VLOOKUP(Q41,$I$83:$Q$109,7,FALSE)+G43*VLOOKUP(Q43,$I$83:$Q$109,7,FALSE)</f>
        <v>0</v>
      </c>
      <c r="S28" s="15">
        <f>+H33*VLOOKUP(S33,$I$83:$Q$109,3,FALSE)+H35*VLOOKUP(S35,$I$83:$Q$109,3,FALSE)+H37*VLOOKUP(S37,$I$83:$Q$109,3,FALSE)+H39*VLOOKUP(S39,$I$83:$Q$109,7,FALSE)+H41*VLOOKUP(S41,$I$83:$Q$109,7,FALSE)+H43*VLOOKUP(S43,$I$83:$Q$109,7,FALSE)</f>
        <v>0</v>
      </c>
    </row>
    <row r="29" spans="1:19" s="12" customFormat="1" ht="6" customHeight="1" x14ac:dyDescent="0.2">
      <c r="C29" s="54"/>
      <c r="D29" s="54"/>
      <c r="E29" s="54"/>
      <c r="F29" s="54"/>
      <c r="G29" s="54"/>
      <c r="H29" s="54"/>
      <c r="I29" s="55"/>
      <c r="J29" s="56"/>
      <c r="K29" s="56"/>
      <c r="L29" s="56"/>
      <c r="M29" s="56"/>
      <c r="N29" s="56"/>
      <c r="O29" s="56"/>
      <c r="P29" s="56"/>
      <c r="Q29" s="56"/>
      <c r="R29" s="56"/>
      <c r="S29" s="56"/>
    </row>
    <row r="30" spans="1:19" s="18" customFormat="1" ht="6" customHeight="1" x14ac:dyDescent="0.2">
      <c r="A30" s="41"/>
      <c r="C30" s="57"/>
      <c r="D30" s="57"/>
      <c r="E30" s="57"/>
      <c r="F30" s="58"/>
      <c r="G30" s="58"/>
      <c r="H30" s="57"/>
      <c r="I30" s="45"/>
      <c r="J30" s="39"/>
      <c r="K30" s="45"/>
      <c r="L30" s="45"/>
      <c r="M30" s="45"/>
      <c r="N30" s="45"/>
      <c r="O30" s="45"/>
      <c r="P30" s="45"/>
      <c r="Q30" s="45"/>
      <c r="R30" s="45"/>
      <c r="S30" s="45"/>
    </row>
    <row r="31" spans="1:19" s="18" customFormat="1" ht="24.95" customHeight="1" x14ac:dyDescent="0.2">
      <c r="A31" s="33"/>
      <c r="B31" s="39"/>
      <c r="C31" s="314" t="s">
        <v>69</v>
      </c>
      <c r="D31" s="315"/>
      <c r="E31" s="315"/>
      <c r="F31" s="315"/>
      <c r="G31" s="315"/>
      <c r="H31" s="316"/>
      <c r="I31" s="45"/>
      <c r="J31" s="39"/>
      <c r="K31" s="15"/>
      <c r="L31" s="45"/>
      <c r="M31" s="15"/>
      <c r="N31" s="34"/>
      <c r="O31" s="15"/>
      <c r="P31" s="34"/>
      <c r="Q31" s="15"/>
      <c r="R31" s="34"/>
      <c r="S31" s="15"/>
    </row>
    <row r="32" spans="1:19" s="16" customFormat="1" ht="12" customHeight="1" x14ac:dyDescent="0.2">
      <c r="A32" s="40"/>
      <c r="B32" s="40"/>
      <c r="C32" s="46" t="s">
        <v>5</v>
      </c>
      <c r="D32" s="46"/>
      <c r="E32" s="46" t="s">
        <v>40</v>
      </c>
      <c r="F32" s="46" t="s">
        <v>45</v>
      </c>
      <c r="G32" s="46" t="s">
        <v>44</v>
      </c>
      <c r="H32" s="46" t="s">
        <v>43</v>
      </c>
      <c r="I32" s="46"/>
      <c r="J32" s="47"/>
      <c r="K32" s="47"/>
      <c r="L32" s="47"/>
      <c r="M32" s="47"/>
      <c r="N32" s="47"/>
      <c r="O32" s="47"/>
      <c r="P32" s="47"/>
      <c r="Q32" s="47"/>
      <c r="R32" s="47"/>
      <c r="S32" s="47"/>
    </row>
    <row r="33" spans="1:19" s="18" customFormat="1" ht="24.95" customHeight="1" x14ac:dyDescent="0.2">
      <c r="A33" s="304" t="s">
        <v>53</v>
      </c>
      <c r="B33" s="39"/>
      <c r="C33" s="307"/>
      <c r="D33" s="308"/>
      <c r="E33" s="35"/>
      <c r="F33" s="35"/>
      <c r="G33" s="36"/>
      <c r="H33" s="35"/>
      <c r="I33" s="45" t="s">
        <v>7</v>
      </c>
      <c r="J33" s="39"/>
      <c r="K33" s="38" t="s">
        <v>55</v>
      </c>
      <c r="L33" s="45"/>
      <c r="M33" s="38" t="s">
        <v>56</v>
      </c>
      <c r="N33" s="45"/>
      <c r="O33" s="38" t="s">
        <v>57</v>
      </c>
      <c r="P33" s="45"/>
      <c r="Q33" s="38" t="s">
        <v>83</v>
      </c>
      <c r="R33" s="45"/>
      <c r="S33" s="38" t="s">
        <v>84</v>
      </c>
    </row>
    <row r="34" spans="1:19" s="18" customFormat="1" ht="6" customHeight="1" x14ac:dyDescent="0.2">
      <c r="A34" s="305"/>
      <c r="B34" s="39"/>
      <c r="C34" s="52">
        <v>1</v>
      </c>
      <c r="D34" s="52"/>
      <c r="E34" s="53"/>
      <c r="F34" s="53"/>
      <c r="G34" s="53"/>
      <c r="H34" s="53"/>
      <c r="I34" s="45"/>
      <c r="J34" s="39"/>
      <c r="K34" s="45"/>
      <c r="L34" s="45"/>
      <c r="M34" s="45"/>
      <c r="N34" s="45"/>
      <c r="O34" s="45"/>
      <c r="P34" s="45"/>
      <c r="Q34" s="45"/>
      <c r="R34" s="45"/>
      <c r="S34" s="45"/>
    </row>
    <row r="35" spans="1:19" s="18" customFormat="1" ht="24.95" customHeight="1" x14ac:dyDescent="0.2">
      <c r="A35" s="305"/>
      <c r="B35" s="39"/>
      <c r="C35" s="306"/>
      <c r="D35" s="306"/>
      <c r="E35" s="35"/>
      <c r="F35" s="37"/>
      <c r="G35" s="36"/>
      <c r="H35" s="35"/>
      <c r="I35" s="45" t="s">
        <v>58</v>
      </c>
      <c r="J35" s="39"/>
      <c r="K35" s="38" t="s">
        <v>60</v>
      </c>
      <c r="L35" s="45"/>
      <c r="M35" s="38" t="s">
        <v>61</v>
      </c>
      <c r="N35" s="45"/>
      <c r="O35" s="38" t="s">
        <v>62</v>
      </c>
      <c r="P35" s="45"/>
      <c r="Q35" s="38" t="s">
        <v>77</v>
      </c>
      <c r="R35" s="45"/>
      <c r="S35" s="38" t="s">
        <v>78</v>
      </c>
    </row>
    <row r="36" spans="1:19" s="18" customFormat="1" ht="6" customHeight="1" x14ac:dyDescent="0.2">
      <c r="A36" s="305"/>
      <c r="B36" s="39"/>
      <c r="C36" s="52"/>
      <c r="D36" s="52"/>
      <c r="E36" s="53"/>
      <c r="F36" s="53"/>
      <c r="G36" s="53"/>
      <c r="H36" s="53"/>
      <c r="I36" s="45"/>
      <c r="J36" s="39"/>
      <c r="K36" s="45"/>
      <c r="L36" s="45"/>
      <c r="M36" s="45"/>
      <c r="N36" s="45"/>
      <c r="O36" s="45"/>
      <c r="P36" s="45"/>
      <c r="Q36" s="45"/>
      <c r="R36" s="45"/>
      <c r="S36" s="45"/>
    </row>
    <row r="37" spans="1:19" s="18" customFormat="1" ht="24.95" customHeight="1" x14ac:dyDescent="0.2">
      <c r="A37" s="305"/>
      <c r="B37" s="39"/>
      <c r="C37" s="306"/>
      <c r="D37" s="306"/>
      <c r="E37" s="35"/>
      <c r="F37" s="37"/>
      <c r="G37" s="36"/>
      <c r="H37" s="35"/>
      <c r="I37" s="45" t="s">
        <v>38</v>
      </c>
      <c r="J37" s="39"/>
      <c r="K37" s="38" t="s">
        <v>64</v>
      </c>
      <c r="L37" s="45"/>
      <c r="M37" s="38" t="s">
        <v>65</v>
      </c>
      <c r="N37" s="45"/>
      <c r="O37" s="38" t="s">
        <v>66</v>
      </c>
      <c r="P37" s="45"/>
      <c r="Q37" s="38" t="s">
        <v>80</v>
      </c>
      <c r="R37" s="45"/>
      <c r="S37" s="38" t="s">
        <v>81</v>
      </c>
    </row>
    <row r="38" spans="1:19" s="18" customFormat="1" ht="12" customHeight="1" x14ac:dyDescent="0.2">
      <c r="A38" s="39"/>
      <c r="B38" s="39"/>
      <c r="C38" s="48" t="s">
        <v>5</v>
      </c>
      <c r="D38" s="48"/>
      <c r="E38" s="48" t="s">
        <v>40</v>
      </c>
      <c r="F38" s="48" t="s">
        <v>45</v>
      </c>
      <c r="G38" s="48" t="s">
        <v>44</v>
      </c>
      <c r="H38" s="48" t="s">
        <v>43</v>
      </c>
      <c r="I38" s="49"/>
      <c r="J38" s="50"/>
      <c r="K38" s="51"/>
      <c r="L38" s="51"/>
      <c r="M38" s="51"/>
      <c r="N38" s="51"/>
      <c r="O38" s="51"/>
      <c r="P38" s="51"/>
      <c r="Q38" s="51"/>
      <c r="R38" s="51"/>
      <c r="S38" s="51"/>
    </row>
    <row r="39" spans="1:19" s="18" customFormat="1" ht="24.95" customHeight="1" x14ac:dyDescent="0.2">
      <c r="A39" s="304" t="s">
        <v>67</v>
      </c>
      <c r="B39" s="39"/>
      <c r="C39" s="306">
        <v>0</v>
      </c>
      <c r="D39" s="306"/>
      <c r="E39" s="35">
        <v>0</v>
      </c>
      <c r="F39" s="35">
        <v>0</v>
      </c>
      <c r="G39" s="36">
        <v>0</v>
      </c>
      <c r="H39" s="35">
        <v>0</v>
      </c>
      <c r="I39" s="45" t="s">
        <v>7</v>
      </c>
      <c r="J39" s="39"/>
      <c r="K39" s="38" t="s">
        <v>55</v>
      </c>
      <c r="L39" s="45"/>
      <c r="M39" s="38" t="s">
        <v>56</v>
      </c>
      <c r="N39" s="45"/>
      <c r="O39" s="38" t="s">
        <v>57</v>
      </c>
      <c r="P39" s="45"/>
      <c r="Q39" s="38" t="s">
        <v>83</v>
      </c>
      <c r="R39" s="45"/>
      <c r="S39" s="38" t="s">
        <v>84</v>
      </c>
    </row>
    <row r="40" spans="1:19" s="18" customFormat="1" ht="6" customHeight="1" x14ac:dyDescent="0.2">
      <c r="A40" s="305"/>
      <c r="B40" s="39"/>
      <c r="C40" s="52"/>
      <c r="D40" s="52"/>
      <c r="E40" s="53"/>
      <c r="F40" s="53"/>
      <c r="G40" s="53"/>
      <c r="H40" s="53"/>
      <c r="I40" s="45"/>
      <c r="J40" s="39"/>
      <c r="K40" s="45"/>
      <c r="L40" s="45"/>
      <c r="M40" s="45"/>
      <c r="N40" s="45"/>
      <c r="O40" s="45"/>
      <c r="P40" s="45"/>
      <c r="Q40" s="45"/>
      <c r="R40" s="45"/>
      <c r="S40" s="45"/>
    </row>
    <row r="41" spans="1:19" s="18" customFormat="1" ht="24.95" customHeight="1" x14ac:dyDescent="0.2">
      <c r="A41" s="305"/>
      <c r="B41" s="39"/>
      <c r="C41" s="306"/>
      <c r="D41" s="306"/>
      <c r="E41" s="35"/>
      <c r="F41" s="37"/>
      <c r="G41" s="36"/>
      <c r="H41" s="35"/>
      <c r="I41" s="45" t="s">
        <v>58</v>
      </c>
      <c r="J41" s="39"/>
      <c r="K41" s="38" t="s">
        <v>60</v>
      </c>
      <c r="L41" s="45"/>
      <c r="M41" s="38" t="s">
        <v>61</v>
      </c>
      <c r="N41" s="45"/>
      <c r="O41" s="38" t="s">
        <v>62</v>
      </c>
      <c r="P41" s="45"/>
      <c r="Q41" s="38" t="s">
        <v>77</v>
      </c>
      <c r="R41" s="45"/>
      <c r="S41" s="38" t="s">
        <v>78</v>
      </c>
    </row>
    <row r="42" spans="1:19" s="18" customFormat="1" ht="6" customHeight="1" x14ac:dyDescent="0.2">
      <c r="A42" s="305"/>
      <c r="B42" s="39"/>
      <c r="C42" s="52"/>
      <c r="D42" s="52"/>
      <c r="E42" s="53"/>
      <c r="F42" s="53"/>
      <c r="G42" s="53"/>
      <c r="H42" s="53"/>
      <c r="I42" s="45"/>
      <c r="J42" s="39"/>
      <c r="K42" s="45"/>
      <c r="L42" s="45"/>
      <c r="M42" s="45"/>
      <c r="N42" s="45"/>
      <c r="O42" s="45"/>
      <c r="P42" s="45"/>
      <c r="Q42" s="45"/>
      <c r="R42" s="45"/>
      <c r="S42" s="45"/>
    </row>
    <row r="43" spans="1:19" s="18" customFormat="1" ht="24.95" customHeight="1" x14ac:dyDescent="0.2">
      <c r="A43" s="305"/>
      <c r="B43" s="39"/>
      <c r="C43" s="306">
        <v>0</v>
      </c>
      <c r="D43" s="306"/>
      <c r="E43" s="35">
        <v>0</v>
      </c>
      <c r="F43" s="37">
        <v>0</v>
      </c>
      <c r="G43" s="36">
        <v>0</v>
      </c>
      <c r="H43" s="35">
        <v>0</v>
      </c>
      <c r="I43" s="45" t="s">
        <v>38</v>
      </c>
      <c r="J43" s="39"/>
      <c r="K43" s="38" t="s">
        <v>64</v>
      </c>
      <c r="L43" s="45"/>
      <c r="M43" s="38" t="s">
        <v>65</v>
      </c>
      <c r="N43" s="45"/>
      <c r="O43" s="38" t="s">
        <v>66</v>
      </c>
      <c r="P43" s="45"/>
      <c r="Q43" s="38" t="s">
        <v>80</v>
      </c>
      <c r="R43" s="45"/>
      <c r="S43" s="38" t="s">
        <v>81</v>
      </c>
    </row>
    <row r="44" spans="1:19" s="12" customFormat="1" ht="6" customHeight="1" x14ac:dyDescent="0.2">
      <c r="C44" s="23"/>
      <c r="D44" s="23"/>
      <c r="E44" s="23"/>
      <c r="F44" s="23"/>
      <c r="G44" s="23"/>
      <c r="H44" s="23"/>
      <c r="I44" s="23"/>
      <c r="J44" s="24"/>
      <c r="K44" s="24"/>
      <c r="L44" s="24"/>
      <c r="M44" s="24"/>
      <c r="N44" s="24"/>
      <c r="O44" s="24"/>
      <c r="P44" s="24"/>
      <c r="Q44" s="24"/>
      <c r="R44" s="24"/>
      <c r="S44" s="24"/>
    </row>
    <row r="45" spans="1:19" s="12" customFormat="1" ht="6" customHeight="1" x14ac:dyDescent="0.2">
      <c r="K45" s="15"/>
      <c r="M45" s="15"/>
      <c r="O45" s="15"/>
      <c r="Q45" s="15"/>
      <c r="S45" s="15"/>
    </row>
    <row r="46" spans="1:19" s="12" customFormat="1" ht="6" customHeight="1" x14ac:dyDescent="0.2">
      <c r="K46" s="15"/>
      <c r="M46" s="15"/>
      <c r="O46" s="15"/>
      <c r="Q46" s="15"/>
      <c r="S46" s="15"/>
    </row>
    <row r="47" spans="1:19" s="12" customFormat="1" ht="15" x14ac:dyDescent="0.2">
      <c r="C47" s="303"/>
      <c r="D47" s="303"/>
      <c r="E47" s="303"/>
      <c r="F47" s="303"/>
      <c r="G47" s="303"/>
      <c r="H47" s="303"/>
      <c r="I47" s="303"/>
      <c r="K47" s="15"/>
      <c r="M47" s="15"/>
      <c r="O47" s="15"/>
      <c r="Q47" s="15"/>
      <c r="S47" s="15"/>
    </row>
    <row r="48" spans="1:19" s="12" customFormat="1" ht="6" customHeight="1" x14ac:dyDescent="0.2">
      <c r="K48" s="15"/>
      <c r="M48" s="15"/>
      <c r="O48" s="15"/>
      <c r="Q48" s="15"/>
      <c r="S48" s="15"/>
    </row>
    <row r="49" spans="1:19" s="12" customFormat="1" ht="15" hidden="1" x14ac:dyDescent="0.2">
      <c r="A49" s="65"/>
      <c r="B49" s="65"/>
      <c r="C49" s="6"/>
      <c r="D49" s="6"/>
      <c r="E49" s="6"/>
      <c r="F49" s="6"/>
      <c r="G49" s="6"/>
      <c r="H49" s="6"/>
      <c r="I49" s="6"/>
      <c r="J49" s="65"/>
      <c r="K49" s="66" t="s">
        <v>71</v>
      </c>
      <c r="L49" s="65"/>
      <c r="M49" s="66" t="s">
        <v>72</v>
      </c>
      <c r="N49" s="65"/>
      <c r="O49" s="66" t="s">
        <v>73</v>
      </c>
      <c r="P49" s="65"/>
      <c r="Q49" s="66" t="s">
        <v>74</v>
      </c>
      <c r="R49" s="65"/>
      <c r="S49" s="66" t="s">
        <v>75</v>
      </c>
    </row>
    <row r="50" spans="1:19" s="12" customFormat="1" ht="12" hidden="1" customHeight="1" x14ac:dyDescent="0.2">
      <c r="A50" s="65"/>
      <c r="B50" s="65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6"/>
      <c r="N50" s="65"/>
      <c r="O50" s="66"/>
      <c r="P50" s="65"/>
      <c r="Q50" s="66"/>
      <c r="R50" s="65"/>
      <c r="S50" s="65">
        <v>1.042</v>
      </c>
    </row>
    <row r="51" spans="1:19" s="12" customFormat="1" ht="12.75" hidden="1" customHeight="1" x14ac:dyDescent="0.2">
      <c r="A51" s="65"/>
      <c r="B51" s="65"/>
      <c r="C51" s="2"/>
      <c r="D51" s="2"/>
      <c r="E51" s="2"/>
      <c r="F51" s="2"/>
      <c r="G51" s="2"/>
      <c r="H51" s="2"/>
      <c r="I51" s="4"/>
      <c r="J51" s="19"/>
      <c r="K51" s="65"/>
      <c r="L51" s="65"/>
      <c r="M51" s="66"/>
      <c r="N51" s="65"/>
      <c r="O51" s="66"/>
      <c r="P51" s="65"/>
      <c r="Q51" s="66"/>
      <c r="R51" s="65"/>
      <c r="S51" s="3" t="s">
        <v>76</v>
      </c>
    </row>
    <row r="52" spans="1:19" s="12" customFormat="1" ht="12.75" hidden="1" customHeight="1" x14ac:dyDescent="0.25">
      <c r="A52" s="65"/>
      <c r="B52" s="65"/>
      <c r="C52" s="21"/>
      <c r="D52" s="21"/>
      <c r="E52" s="21"/>
      <c r="F52" s="21"/>
      <c r="G52" s="21"/>
      <c r="H52" s="21"/>
      <c r="I52" s="4"/>
      <c r="J52" s="19"/>
      <c r="K52" s="65"/>
      <c r="L52" s="65"/>
      <c r="M52" s="66"/>
      <c r="N52" s="65"/>
      <c r="O52" s="66"/>
      <c r="P52" s="65"/>
      <c r="Q52" s="66"/>
      <c r="R52" s="3"/>
      <c r="S52" s="3" t="s">
        <v>48</v>
      </c>
    </row>
    <row r="53" spans="1:19" s="12" customFormat="1" ht="12.75" hidden="1" customHeight="1" x14ac:dyDescent="0.2">
      <c r="A53" s="65"/>
      <c r="B53" s="65"/>
      <c r="C53" s="6"/>
      <c r="D53" s="6"/>
      <c r="E53" s="6"/>
      <c r="F53" s="6"/>
      <c r="G53" s="6"/>
      <c r="H53" s="6"/>
      <c r="I53" s="67" t="s">
        <v>59</v>
      </c>
      <c r="J53" s="62"/>
      <c r="K53" s="68">
        <v>970</v>
      </c>
      <c r="L53" s="62"/>
      <c r="M53" s="68">
        <v>1939</v>
      </c>
      <c r="N53" s="62"/>
      <c r="O53" s="68">
        <v>1939</v>
      </c>
      <c r="P53" s="62"/>
      <c r="Q53" s="68">
        <v>3878</v>
      </c>
      <c r="R53" s="65"/>
      <c r="S53" s="66"/>
    </row>
    <row r="54" spans="1:19" s="12" customFormat="1" ht="12.75" hidden="1" customHeight="1" x14ac:dyDescent="0.2">
      <c r="A54" s="65"/>
      <c r="B54" s="65"/>
      <c r="C54" s="2"/>
      <c r="D54" s="2"/>
      <c r="E54" s="2"/>
      <c r="F54" s="2"/>
      <c r="G54" s="2"/>
      <c r="H54" s="2"/>
      <c r="I54" s="67" t="s">
        <v>60</v>
      </c>
      <c r="J54" s="62"/>
      <c r="K54" s="68">
        <v>981</v>
      </c>
      <c r="L54" s="62"/>
      <c r="M54" s="68">
        <v>1962</v>
      </c>
      <c r="N54" s="62"/>
      <c r="O54" s="68">
        <v>1962</v>
      </c>
      <c r="P54" s="62"/>
      <c r="Q54" s="68">
        <v>3924</v>
      </c>
      <c r="R54" s="65"/>
      <c r="S54" s="66"/>
    </row>
    <row r="55" spans="1:19" s="12" customFormat="1" ht="12.75" hidden="1" customHeight="1" x14ac:dyDescent="0.2">
      <c r="A55" s="65"/>
      <c r="B55" s="65"/>
      <c r="C55" s="6"/>
      <c r="D55" s="6"/>
      <c r="E55" s="6"/>
      <c r="F55" s="6"/>
      <c r="G55" s="6"/>
      <c r="H55" s="6"/>
      <c r="I55" s="67" t="s">
        <v>61</v>
      </c>
      <c r="J55" s="62"/>
      <c r="K55" s="68">
        <f t="shared" ref="K55:K60" si="0">K54*$S$50</f>
        <v>1022.202</v>
      </c>
      <c r="L55" s="62"/>
      <c r="M55" s="68">
        <f>M54*$S$50</f>
        <v>2044.404</v>
      </c>
      <c r="N55" s="62"/>
      <c r="O55" s="68">
        <f>O54*$S$50</f>
        <v>2044.404</v>
      </c>
      <c r="P55" s="62"/>
      <c r="Q55" s="68">
        <f>Q54*$S$50</f>
        <v>4088.808</v>
      </c>
      <c r="R55" s="65"/>
      <c r="S55" s="66"/>
    </row>
    <row r="56" spans="1:19" s="12" customFormat="1" ht="12.75" hidden="1" customHeight="1" x14ac:dyDescent="0.2">
      <c r="A56" s="65"/>
      <c r="B56" s="65"/>
      <c r="C56" s="6"/>
      <c r="D56" s="6"/>
      <c r="E56" s="6"/>
      <c r="F56" s="6"/>
      <c r="G56" s="6"/>
      <c r="H56" s="6"/>
      <c r="I56" s="67" t="s">
        <v>62</v>
      </c>
      <c r="J56" s="62"/>
      <c r="K56" s="68">
        <f t="shared" si="0"/>
        <v>1065.1344839999999</v>
      </c>
      <c r="L56" s="62"/>
      <c r="M56" s="68">
        <f t="shared" ref="M56:M60" si="1">M55*$S$50</f>
        <v>2130.2689679999999</v>
      </c>
      <c r="N56" s="62"/>
      <c r="O56" s="68">
        <f t="shared" ref="O56:O60" si="2">O55*$S$50</f>
        <v>2130.2689679999999</v>
      </c>
      <c r="P56" s="62"/>
      <c r="Q56" s="68">
        <f t="shared" ref="Q56:Q60" si="3">Q55*$S$50</f>
        <v>4260.5379359999997</v>
      </c>
      <c r="R56" s="65"/>
      <c r="S56" s="66"/>
    </row>
    <row r="57" spans="1:19" s="12" customFormat="1" ht="12.75" hidden="1" customHeight="1" x14ac:dyDescent="0.2">
      <c r="A57" s="65"/>
      <c r="B57" s="65"/>
      <c r="C57" s="6"/>
      <c r="D57" s="6"/>
      <c r="E57" s="6"/>
      <c r="F57" s="6"/>
      <c r="G57" s="6"/>
      <c r="H57" s="6"/>
      <c r="I57" s="67" t="s">
        <v>77</v>
      </c>
      <c r="J57" s="62"/>
      <c r="K57" s="68">
        <f t="shared" si="0"/>
        <v>1109.870132328</v>
      </c>
      <c r="L57" s="62"/>
      <c r="M57" s="68">
        <f t="shared" si="1"/>
        <v>2219.7402646559999</v>
      </c>
      <c r="N57" s="62"/>
      <c r="O57" s="68">
        <f t="shared" si="2"/>
        <v>2219.7402646559999</v>
      </c>
      <c r="P57" s="62"/>
      <c r="Q57" s="68">
        <f t="shared" si="3"/>
        <v>4439.4805293119998</v>
      </c>
      <c r="R57" s="65"/>
      <c r="S57" s="66"/>
    </row>
    <row r="58" spans="1:19" s="12" customFormat="1" ht="12.75" hidden="1" customHeight="1" x14ac:dyDescent="0.2">
      <c r="A58" s="65"/>
      <c r="B58" s="65"/>
      <c r="C58" s="6"/>
      <c r="D58" s="6"/>
      <c r="E58" s="6"/>
      <c r="F58" s="6"/>
      <c r="G58" s="6"/>
      <c r="H58" s="6"/>
      <c r="I58" s="67" t="s">
        <v>78</v>
      </c>
      <c r="J58" s="62"/>
      <c r="K58" s="68">
        <f t="shared" si="0"/>
        <v>1156.4846778857759</v>
      </c>
      <c r="L58" s="62"/>
      <c r="M58" s="68">
        <f t="shared" si="1"/>
        <v>2312.9693557715518</v>
      </c>
      <c r="N58" s="62"/>
      <c r="O58" s="68">
        <f t="shared" si="2"/>
        <v>2312.9693557715518</v>
      </c>
      <c r="P58" s="62"/>
      <c r="Q58" s="68">
        <f t="shared" si="3"/>
        <v>4625.9387115431036</v>
      </c>
      <c r="R58" s="65"/>
      <c r="S58" s="66"/>
    </row>
    <row r="59" spans="1:19" s="12" customFormat="1" ht="12.75" hidden="1" customHeight="1" x14ac:dyDescent="0.2">
      <c r="A59" s="65"/>
      <c r="B59" s="65"/>
      <c r="C59" s="6"/>
      <c r="D59" s="6"/>
      <c r="E59" s="6"/>
      <c r="F59" s="6"/>
      <c r="G59" s="6"/>
      <c r="H59" s="6"/>
      <c r="I59" s="67" t="s">
        <v>79</v>
      </c>
      <c r="J59" s="62"/>
      <c r="K59" s="68">
        <f t="shared" si="0"/>
        <v>1205.0570343569786</v>
      </c>
      <c r="L59" s="62"/>
      <c r="M59" s="68">
        <f t="shared" si="1"/>
        <v>2410.1140687139573</v>
      </c>
      <c r="N59" s="62"/>
      <c r="O59" s="68">
        <f t="shared" si="2"/>
        <v>2410.1140687139573</v>
      </c>
      <c r="P59" s="62"/>
      <c r="Q59" s="68">
        <f t="shared" si="3"/>
        <v>4820.2281374279146</v>
      </c>
      <c r="R59" s="65"/>
      <c r="S59" s="66"/>
    </row>
    <row r="60" spans="1:19" s="12" customFormat="1" ht="12.75" hidden="1" customHeight="1" x14ac:dyDescent="0.2">
      <c r="A60" s="65"/>
      <c r="B60" s="65"/>
      <c r="C60" s="6"/>
      <c r="D60" s="6"/>
      <c r="E60" s="6"/>
      <c r="F60" s="6"/>
      <c r="G60" s="6"/>
      <c r="H60" s="6"/>
      <c r="I60" s="67" t="s">
        <v>145</v>
      </c>
      <c r="J60" s="62"/>
      <c r="K60" s="68">
        <f t="shared" si="0"/>
        <v>1255.6694297999718</v>
      </c>
      <c r="L60" s="62"/>
      <c r="M60" s="68">
        <f t="shared" si="1"/>
        <v>2511.3388595999436</v>
      </c>
      <c r="N60" s="62"/>
      <c r="O60" s="68">
        <f t="shared" si="2"/>
        <v>2511.3388595999436</v>
      </c>
      <c r="P60" s="62"/>
      <c r="Q60" s="68">
        <f t="shared" si="3"/>
        <v>5022.6777191998872</v>
      </c>
      <c r="R60" s="65"/>
      <c r="S60" s="66"/>
    </row>
    <row r="61" spans="1:19" s="12" customFormat="1" ht="12.75" hidden="1" customHeight="1" x14ac:dyDescent="0.2">
      <c r="A61" s="65"/>
      <c r="B61" s="65"/>
      <c r="C61" s="6"/>
      <c r="D61" s="6"/>
      <c r="E61" s="6"/>
      <c r="F61" s="6"/>
      <c r="G61" s="6"/>
      <c r="H61" s="6"/>
      <c r="I61" s="67"/>
      <c r="J61" s="69"/>
      <c r="K61" s="63"/>
      <c r="L61" s="62"/>
      <c r="M61" s="63"/>
      <c r="N61" s="62"/>
      <c r="O61" s="63"/>
      <c r="P61" s="62"/>
      <c r="Q61" s="63"/>
      <c r="R61" s="65"/>
      <c r="S61" s="66"/>
    </row>
    <row r="62" spans="1:19" s="12" customFormat="1" ht="12.75" hidden="1" customHeight="1" x14ac:dyDescent="0.2">
      <c r="A62" s="65"/>
      <c r="B62" s="65"/>
      <c r="C62" s="6"/>
      <c r="D62" s="6"/>
      <c r="E62" s="6"/>
      <c r="F62" s="6"/>
      <c r="G62" s="6"/>
      <c r="H62" s="6"/>
      <c r="I62" s="67" t="s">
        <v>63</v>
      </c>
      <c r="J62" s="69"/>
      <c r="K62" s="68">
        <v>935</v>
      </c>
      <c r="L62" s="69"/>
      <c r="M62" s="68">
        <v>1869</v>
      </c>
      <c r="N62" s="69"/>
      <c r="O62" s="68">
        <v>1869</v>
      </c>
      <c r="P62" s="69"/>
      <c r="Q62" s="68">
        <v>3738</v>
      </c>
      <c r="R62" s="65"/>
      <c r="S62" s="66"/>
    </row>
    <row r="63" spans="1:19" s="12" customFormat="1" ht="12.75" hidden="1" customHeight="1" x14ac:dyDescent="0.2">
      <c r="A63" s="65"/>
      <c r="B63" s="65"/>
      <c r="C63" s="2"/>
      <c r="D63" s="2"/>
      <c r="E63" s="2"/>
      <c r="F63" s="2"/>
      <c r="G63" s="2"/>
      <c r="H63" s="2"/>
      <c r="I63" s="67" t="s">
        <v>64</v>
      </c>
      <c r="J63" s="62"/>
      <c r="K63" s="68">
        <v>970</v>
      </c>
      <c r="L63" s="62"/>
      <c r="M63" s="68">
        <v>1939</v>
      </c>
      <c r="N63" s="62"/>
      <c r="O63" s="68">
        <v>1939</v>
      </c>
      <c r="P63" s="62"/>
      <c r="Q63" s="68">
        <v>3878</v>
      </c>
      <c r="R63" s="65"/>
      <c r="S63" s="66"/>
    </row>
    <row r="64" spans="1:19" s="12" customFormat="1" ht="12.75" hidden="1" customHeight="1" x14ac:dyDescent="0.2">
      <c r="A64" s="65"/>
      <c r="B64" s="65"/>
      <c r="C64" s="6"/>
      <c r="D64" s="70"/>
      <c r="E64" s="6"/>
      <c r="F64" s="6"/>
      <c r="G64" s="6"/>
      <c r="H64" s="6"/>
      <c r="I64" s="67" t="s">
        <v>65</v>
      </c>
      <c r="J64" s="62"/>
      <c r="K64" s="68">
        <v>981</v>
      </c>
      <c r="L64" s="62"/>
      <c r="M64" s="68">
        <v>1962</v>
      </c>
      <c r="N64" s="62"/>
      <c r="O64" s="68">
        <v>1962</v>
      </c>
      <c r="P64" s="62"/>
      <c r="Q64" s="68">
        <v>3924</v>
      </c>
      <c r="R64" s="65"/>
      <c r="S64" s="66"/>
    </row>
    <row r="65" spans="1:19" s="12" customFormat="1" ht="12.75" hidden="1" customHeight="1" x14ac:dyDescent="0.2">
      <c r="A65" s="65"/>
      <c r="B65" s="65"/>
      <c r="C65" s="2"/>
      <c r="D65" s="2"/>
      <c r="E65" s="2"/>
      <c r="F65" s="2"/>
      <c r="G65" s="2"/>
      <c r="H65" s="2"/>
      <c r="I65" s="67" t="s">
        <v>66</v>
      </c>
      <c r="J65" s="62"/>
      <c r="K65" s="68">
        <f t="shared" ref="K65:K69" si="4">K64*$S$50</f>
        <v>1022.202</v>
      </c>
      <c r="L65" s="62"/>
      <c r="M65" s="68">
        <f t="shared" ref="M65:M69" si="5">M64*$S$50</f>
        <v>2044.404</v>
      </c>
      <c r="N65" s="62"/>
      <c r="O65" s="68">
        <f t="shared" ref="O65:O69" si="6">O64*$S$50</f>
        <v>2044.404</v>
      </c>
      <c r="P65" s="62"/>
      <c r="Q65" s="68">
        <f>Q64*$S$50</f>
        <v>4088.808</v>
      </c>
      <c r="R65" s="65"/>
      <c r="S65" s="66"/>
    </row>
    <row r="66" spans="1:19" s="12" customFormat="1" ht="12.75" hidden="1" customHeight="1" x14ac:dyDescent="0.2">
      <c r="A66" s="65"/>
      <c r="B66" s="65"/>
      <c r="C66" s="2"/>
      <c r="D66" s="2"/>
      <c r="E66" s="2"/>
      <c r="F66" s="2"/>
      <c r="G66" s="2"/>
      <c r="H66" s="2"/>
      <c r="I66" s="67" t="s">
        <v>80</v>
      </c>
      <c r="J66" s="62"/>
      <c r="K66" s="68">
        <f t="shared" si="4"/>
        <v>1065.1344839999999</v>
      </c>
      <c r="L66" s="64"/>
      <c r="M66" s="68">
        <f t="shared" si="5"/>
        <v>2130.2689679999999</v>
      </c>
      <c r="N66" s="64"/>
      <c r="O66" s="68">
        <f t="shared" si="6"/>
        <v>2130.2689679999999</v>
      </c>
      <c r="P66" s="64"/>
      <c r="Q66" s="68">
        <f t="shared" ref="Q66:Q69" si="7">Q65*$S$50</f>
        <v>4260.5379359999997</v>
      </c>
      <c r="R66" s="65"/>
      <c r="S66" s="66"/>
    </row>
    <row r="67" spans="1:19" s="12" customFormat="1" ht="12.75" hidden="1" customHeight="1" x14ac:dyDescent="0.2">
      <c r="A67" s="65"/>
      <c r="B67" s="65"/>
      <c r="C67" s="2"/>
      <c r="D67" s="2"/>
      <c r="E67" s="2"/>
      <c r="F67" s="2"/>
      <c r="G67" s="2"/>
      <c r="H67" s="2"/>
      <c r="I67" s="67" t="s">
        <v>81</v>
      </c>
      <c r="J67" s="62"/>
      <c r="K67" s="68">
        <f t="shared" si="4"/>
        <v>1109.870132328</v>
      </c>
      <c r="L67" s="64"/>
      <c r="M67" s="68">
        <f t="shared" si="5"/>
        <v>2219.7402646559999</v>
      </c>
      <c r="N67" s="64"/>
      <c r="O67" s="68">
        <f t="shared" si="6"/>
        <v>2219.7402646559999</v>
      </c>
      <c r="P67" s="64"/>
      <c r="Q67" s="68">
        <f t="shared" si="7"/>
        <v>4439.4805293119998</v>
      </c>
      <c r="R67" s="65"/>
      <c r="S67" s="66"/>
    </row>
    <row r="68" spans="1:19" s="12" customFormat="1" ht="12.75" hidden="1" customHeight="1" x14ac:dyDescent="0.2">
      <c r="A68" s="65"/>
      <c r="B68" s="65"/>
      <c r="C68" s="2"/>
      <c r="D68" s="2"/>
      <c r="E68" s="2"/>
      <c r="F68" s="2"/>
      <c r="G68" s="2"/>
      <c r="H68" s="2"/>
      <c r="I68" s="67" t="s">
        <v>82</v>
      </c>
      <c r="J68" s="62"/>
      <c r="K68" s="68">
        <f t="shared" si="4"/>
        <v>1156.4846778857759</v>
      </c>
      <c r="L68" s="64"/>
      <c r="M68" s="68">
        <f t="shared" si="5"/>
        <v>2312.9693557715518</v>
      </c>
      <c r="N68" s="64"/>
      <c r="O68" s="68">
        <f t="shared" si="6"/>
        <v>2312.9693557715518</v>
      </c>
      <c r="P68" s="64"/>
      <c r="Q68" s="68">
        <f t="shared" si="7"/>
        <v>4625.9387115431036</v>
      </c>
      <c r="R68" s="65"/>
      <c r="S68" s="66"/>
    </row>
    <row r="69" spans="1:19" s="12" customFormat="1" ht="12.75" hidden="1" customHeight="1" x14ac:dyDescent="0.2">
      <c r="A69" s="65"/>
      <c r="B69" s="65"/>
      <c r="C69" s="2"/>
      <c r="D69" s="2"/>
      <c r="E69" s="2"/>
      <c r="F69" s="2"/>
      <c r="G69" s="2"/>
      <c r="H69" s="2"/>
      <c r="I69" s="67" t="s">
        <v>146</v>
      </c>
      <c r="J69" s="62"/>
      <c r="K69" s="68">
        <f t="shared" si="4"/>
        <v>1205.0570343569786</v>
      </c>
      <c r="L69" s="64"/>
      <c r="M69" s="68">
        <f t="shared" si="5"/>
        <v>2410.1140687139573</v>
      </c>
      <c r="N69" s="64"/>
      <c r="O69" s="68">
        <f t="shared" si="6"/>
        <v>2410.1140687139573</v>
      </c>
      <c r="P69" s="64"/>
      <c r="Q69" s="68">
        <f t="shared" si="7"/>
        <v>4820.2281374279146</v>
      </c>
      <c r="R69" s="65"/>
      <c r="S69" s="66"/>
    </row>
    <row r="70" spans="1:19" s="12" customFormat="1" ht="12.75" hidden="1" customHeight="1" x14ac:dyDescent="0.2">
      <c r="A70" s="65"/>
      <c r="B70" s="65"/>
      <c r="C70" s="2"/>
      <c r="D70" s="2"/>
      <c r="E70" s="2"/>
      <c r="F70" s="2"/>
      <c r="G70" s="2"/>
      <c r="H70" s="2"/>
      <c r="I70" s="67"/>
      <c r="J70" s="62"/>
      <c r="K70" s="63"/>
      <c r="L70" s="62"/>
      <c r="M70" s="63"/>
      <c r="N70" s="62"/>
      <c r="O70" s="63"/>
      <c r="P70" s="62"/>
      <c r="Q70" s="63"/>
      <c r="R70" s="65"/>
      <c r="S70" s="66"/>
    </row>
    <row r="71" spans="1:19" s="19" customFormat="1" ht="12.75" hidden="1" customHeight="1" x14ac:dyDescent="0.2">
      <c r="C71" s="22"/>
      <c r="D71" s="22"/>
      <c r="E71" s="22"/>
      <c r="F71" s="22"/>
      <c r="G71" s="22"/>
      <c r="H71" s="22"/>
      <c r="I71" s="67" t="s">
        <v>54</v>
      </c>
      <c r="J71" s="62"/>
      <c r="K71" s="68">
        <v>539</v>
      </c>
      <c r="L71" s="62"/>
      <c r="M71" s="68">
        <v>1078</v>
      </c>
      <c r="N71" s="62"/>
      <c r="O71" s="68">
        <v>1078</v>
      </c>
      <c r="P71" s="71"/>
      <c r="Q71" s="68">
        <v>2155</v>
      </c>
    </row>
    <row r="72" spans="1:19" s="19" customFormat="1" ht="12.75" hidden="1" customHeight="1" x14ac:dyDescent="0.2">
      <c r="C72" s="22"/>
      <c r="D72" s="22"/>
      <c r="E72" s="22"/>
      <c r="F72" s="22"/>
      <c r="G72" s="22"/>
      <c r="H72" s="22"/>
      <c r="I72" s="67" t="s">
        <v>55</v>
      </c>
      <c r="J72" s="62"/>
      <c r="K72" s="68">
        <v>545</v>
      </c>
      <c r="L72" s="62"/>
      <c r="M72" s="68">
        <v>1090</v>
      </c>
      <c r="N72" s="62"/>
      <c r="O72" s="68">
        <v>1090</v>
      </c>
      <c r="P72" s="71"/>
      <c r="Q72" s="68">
        <v>2180</v>
      </c>
    </row>
    <row r="73" spans="1:19" s="19" customFormat="1" ht="12.75" hidden="1" customHeight="1" x14ac:dyDescent="0.2">
      <c r="C73" s="22"/>
      <c r="D73" s="22"/>
      <c r="E73" s="22"/>
      <c r="F73" s="22"/>
      <c r="G73" s="22"/>
      <c r="H73" s="22"/>
      <c r="I73" s="67" t="s">
        <v>56</v>
      </c>
      <c r="J73" s="62"/>
      <c r="K73" s="68">
        <f>K72*$S$50</f>
        <v>567.89</v>
      </c>
      <c r="L73" s="62"/>
      <c r="M73" s="68">
        <f>M72*$S$50</f>
        <v>1135.78</v>
      </c>
      <c r="N73" s="62"/>
      <c r="O73" s="68">
        <f>O72*$S$50</f>
        <v>1135.78</v>
      </c>
      <c r="P73" s="71"/>
      <c r="Q73" s="68">
        <f>Q72*$S$50</f>
        <v>2271.56</v>
      </c>
    </row>
    <row r="74" spans="1:19" s="19" customFormat="1" ht="12.75" hidden="1" customHeight="1" x14ac:dyDescent="0.2">
      <c r="C74" s="22"/>
      <c r="D74" s="22"/>
      <c r="E74" s="22"/>
      <c r="F74" s="22"/>
      <c r="G74" s="22"/>
      <c r="H74" s="22"/>
      <c r="I74" s="67" t="s">
        <v>57</v>
      </c>
      <c r="J74" s="62"/>
      <c r="K74" s="68">
        <f t="shared" ref="K74:K78" si="8">K73*$S$50</f>
        <v>591.74138000000005</v>
      </c>
      <c r="L74" s="62"/>
      <c r="M74" s="68">
        <f t="shared" ref="M74:M78" si="9">M73*$S$50</f>
        <v>1183.4827600000001</v>
      </c>
      <c r="N74" s="62"/>
      <c r="O74" s="68">
        <f t="shared" ref="O74:O78" si="10">O73*$S$50</f>
        <v>1183.4827600000001</v>
      </c>
      <c r="P74" s="71"/>
      <c r="Q74" s="68">
        <f t="shared" ref="Q74:Q78" si="11">Q73*$S$50</f>
        <v>2366.9655200000002</v>
      </c>
    </row>
    <row r="75" spans="1:19" s="19" customFormat="1" ht="12.75" hidden="1" customHeight="1" x14ac:dyDescent="0.2">
      <c r="C75" s="22"/>
      <c r="D75" s="22"/>
      <c r="E75" s="22"/>
      <c r="F75" s="22"/>
      <c r="G75" s="22"/>
      <c r="H75" s="22"/>
      <c r="I75" s="67" t="s">
        <v>83</v>
      </c>
      <c r="J75" s="62"/>
      <c r="K75" s="68">
        <f t="shared" si="8"/>
        <v>616.59451796000008</v>
      </c>
      <c r="L75" s="62"/>
      <c r="M75" s="68">
        <f t="shared" si="9"/>
        <v>1233.1890359200002</v>
      </c>
      <c r="N75" s="62"/>
      <c r="O75" s="68">
        <f t="shared" si="10"/>
        <v>1233.1890359200002</v>
      </c>
      <c r="P75" s="71"/>
      <c r="Q75" s="68">
        <f t="shared" si="11"/>
        <v>2466.3780718400003</v>
      </c>
    </row>
    <row r="76" spans="1:19" s="19" customFormat="1" ht="12.75" hidden="1" customHeight="1" x14ac:dyDescent="0.2">
      <c r="C76" s="22"/>
      <c r="D76" s="22"/>
      <c r="E76" s="22"/>
      <c r="F76" s="22"/>
      <c r="G76" s="22"/>
      <c r="H76" s="22"/>
      <c r="I76" s="67" t="s">
        <v>84</v>
      </c>
      <c r="J76" s="62"/>
      <c r="K76" s="68">
        <f t="shared" si="8"/>
        <v>642.4914877143201</v>
      </c>
      <c r="L76" s="62"/>
      <c r="M76" s="68">
        <f t="shared" si="9"/>
        <v>1284.9829754286402</v>
      </c>
      <c r="N76" s="62"/>
      <c r="O76" s="68">
        <f t="shared" si="10"/>
        <v>1284.9829754286402</v>
      </c>
      <c r="P76" s="71"/>
      <c r="Q76" s="68">
        <f t="shared" si="11"/>
        <v>2569.9659508572804</v>
      </c>
    </row>
    <row r="77" spans="1:19" s="19" customFormat="1" ht="12.75" hidden="1" customHeight="1" x14ac:dyDescent="0.2">
      <c r="C77" s="22"/>
      <c r="D77" s="22"/>
      <c r="E77" s="22"/>
      <c r="F77" s="22"/>
      <c r="G77" s="22"/>
      <c r="H77" s="22"/>
      <c r="I77" s="67" t="s">
        <v>85</v>
      </c>
      <c r="J77" s="62"/>
      <c r="K77" s="68">
        <f t="shared" si="8"/>
        <v>669.47613019832158</v>
      </c>
      <c r="L77" s="62"/>
      <c r="M77" s="68">
        <f t="shared" si="9"/>
        <v>1338.9522603966432</v>
      </c>
      <c r="N77" s="62"/>
      <c r="O77" s="68">
        <f t="shared" si="10"/>
        <v>1338.9522603966432</v>
      </c>
      <c r="P77" s="71"/>
      <c r="Q77" s="68">
        <f t="shared" si="11"/>
        <v>2677.9045207932863</v>
      </c>
    </row>
    <row r="78" spans="1:19" s="19" customFormat="1" ht="12.75" hidden="1" customHeight="1" x14ac:dyDescent="0.2">
      <c r="C78" s="22"/>
      <c r="D78" s="22"/>
      <c r="E78" s="22"/>
      <c r="F78" s="22"/>
      <c r="G78" s="22"/>
      <c r="H78" s="22"/>
      <c r="I78" s="67" t="s">
        <v>147</v>
      </c>
      <c r="J78" s="62"/>
      <c r="K78" s="68">
        <f t="shared" si="8"/>
        <v>697.59412766665116</v>
      </c>
      <c r="L78" s="62"/>
      <c r="M78" s="68">
        <f t="shared" si="9"/>
        <v>1395.1882553333023</v>
      </c>
      <c r="N78" s="62"/>
      <c r="O78" s="68">
        <f t="shared" si="10"/>
        <v>1395.1882553333023</v>
      </c>
      <c r="P78" s="71"/>
      <c r="Q78" s="68">
        <f t="shared" si="11"/>
        <v>2790.3765106666046</v>
      </c>
    </row>
    <row r="79" spans="1:19" s="19" customFormat="1" ht="12.75" hidden="1" customHeight="1" x14ac:dyDescent="0.2">
      <c r="C79" s="22"/>
      <c r="D79" s="22"/>
      <c r="E79" s="22"/>
      <c r="F79" s="22"/>
      <c r="G79" s="22"/>
      <c r="H79" s="22"/>
      <c r="I79" s="62"/>
      <c r="J79" s="62"/>
      <c r="K79" s="63"/>
      <c r="L79" s="62"/>
      <c r="M79" s="63"/>
      <c r="N79" s="62"/>
      <c r="O79" s="63"/>
      <c r="P79" s="62"/>
      <c r="Q79" s="63"/>
    </row>
    <row r="80" spans="1:19" s="19" customFormat="1" ht="12.75" hidden="1" customHeight="1" x14ac:dyDescent="0.2">
      <c r="C80" s="22"/>
      <c r="D80" s="22"/>
      <c r="E80" s="22"/>
      <c r="F80" s="22"/>
      <c r="G80" s="22"/>
      <c r="H80" s="22"/>
      <c r="I80" s="302" t="s">
        <v>86</v>
      </c>
      <c r="J80" s="302"/>
      <c r="K80" s="302"/>
      <c r="L80" s="302"/>
      <c r="M80" s="302"/>
      <c r="N80" s="302"/>
      <c r="O80" s="302"/>
      <c r="P80" s="302"/>
      <c r="Q80" s="302"/>
    </row>
    <row r="81" spans="3:17" s="19" customFormat="1" ht="12.75" hidden="1" customHeight="1" x14ac:dyDescent="0.2">
      <c r="C81" s="22"/>
      <c r="D81" s="22"/>
      <c r="E81" s="22"/>
      <c r="F81" s="22"/>
      <c r="G81" s="22"/>
      <c r="H81" s="22"/>
      <c r="I81" s="69"/>
      <c r="J81" s="62"/>
      <c r="K81" s="63" t="s">
        <v>71</v>
      </c>
      <c r="L81" s="62"/>
      <c r="M81" s="63" t="s">
        <v>72</v>
      </c>
      <c r="N81" s="62"/>
      <c r="O81" s="63" t="s">
        <v>73</v>
      </c>
      <c r="P81" s="62"/>
      <c r="Q81" s="63" t="s">
        <v>74</v>
      </c>
    </row>
    <row r="82" spans="3:17" s="19" customFormat="1" ht="12.75" hidden="1" customHeight="1" x14ac:dyDescent="0.2">
      <c r="C82" s="22"/>
      <c r="D82" s="22"/>
      <c r="E82" s="22"/>
      <c r="F82" s="22"/>
      <c r="G82" s="22"/>
      <c r="H82" s="22"/>
      <c r="I82" s="67"/>
      <c r="J82" s="62"/>
      <c r="K82" s="69"/>
      <c r="L82" s="69"/>
      <c r="M82" s="63"/>
      <c r="N82" s="62"/>
      <c r="O82" s="63"/>
      <c r="P82" s="62"/>
      <c r="Q82" s="63"/>
    </row>
    <row r="83" spans="3:17" s="19" customFormat="1" ht="12.75" hidden="1" customHeight="1" x14ac:dyDescent="0.2">
      <c r="C83" s="22"/>
      <c r="D83" s="22"/>
      <c r="E83" s="22"/>
      <c r="F83" s="22"/>
      <c r="G83" s="22"/>
      <c r="H83" s="22"/>
      <c r="I83" s="67" t="s">
        <v>59</v>
      </c>
      <c r="J83" s="69"/>
      <c r="K83" s="72">
        <v>1118</v>
      </c>
      <c r="L83" s="62"/>
      <c r="M83" s="68">
        <v>2235</v>
      </c>
      <c r="N83" s="62"/>
      <c r="O83" s="72">
        <v>2235</v>
      </c>
      <c r="P83" s="62"/>
      <c r="Q83" s="68">
        <v>4470</v>
      </c>
    </row>
    <row r="84" spans="3:17" s="19" customFormat="1" ht="12.75" hidden="1" customHeight="1" x14ac:dyDescent="0.2">
      <c r="C84" s="22"/>
      <c r="D84" s="22"/>
      <c r="E84" s="22"/>
      <c r="F84" s="22"/>
      <c r="G84" s="22"/>
      <c r="H84" s="22"/>
      <c r="I84" s="67" t="s">
        <v>60</v>
      </c>
      <c r="J84" s="69"/>
      <c r="K84" s="72">
        <v>1131</v>
      </c>
      <c r="L84" s="62"/>
      <c r="M84" s="68">
        <v>2262</v>
      </c>
      <c r="N84" s="62"/>
      <c r="O84" s="72">
        <v>2262</v>
      </c>
      <c r="P84" s="62"/>
      <c r="Q84" s="68">
        <v>4523</v>
      </c>
    </row>
    <row r="85" spans="3:17" s="19" customFormat="1" ht="15" hidden="1" x14ac:dyDescent="0.2">
      <c r="I85" s="67" t="s">
        <v>61</v>
      </c>
      <c r="J85" s="69"/>
      <c r="K85" s="72">
        <f>K84*$S$50</f>
        <v>1178.502</v>
      </c>
      <c r="L85" s="62"/>
      <c r="M85" s="68">
        <f>M84*$S$50</f>
        <v>2357.0039999999999</v>
      </c>
      <c r="N85" s="62"/>
      <c r="O85" s="72">
        <f>O84*$S$50</f>
        <v>2357.0039999999999</v>
      </c>
      <c r="P85" s="62"/>
      <c r="Q85" s="68">
        <f>Q84*$S$50</f>
        <v>4712.9660000000003</v>
      </c>
    </row>
    <row r="86" spans="3:17" s="19" customFormat="1" ht="15" hidden="1" x14ac:dyDescent="0.2">
      <c r="I86" s="67" t="s">
        <v>62</v>
      </c>
      <c r="J86" s="69"/>
      <c r="K86" s="72">
        <f t="shared" ref="K86:K90" si="12">K85*$S$50</f>
        <v>1227.999084</v>
      </c>
      <c r="L86" s="62"/>
      <c r="M86" s="68">
        <f t="shared" ref="M86:M90" si="13">M85*$S$50</f>
        <v>2455.9981680000001</v>
      </c>
      <c r="N86" s="62"/>
      <c r="O86" s="72">
        <f t="shared" ref="O86:O90" si="14">O85*$S$50</f>
        <v>2455.9981680000001</v>
      </c>
      <c r="P86" s="62"/>
      <c r="Q86" s="68">
        <f t="shared" ref="Q86:Q90" si="15">Q85*$S$50</f>
        <v>4910.9105720000007</v>
      </c>
    </row>
    <row r="87" spans="3:17" s="19" customFormat="1" ht="15" hidden="1" x14ac:dyDescent="0.2">
      <c r="I87" s="67" t="s">
        <v>77</v>
      </c>
      <c r="J87" s="69"/>
      <c r="K87" s="72">
        <f t="shared" si="12"/>
        <v>1279.5750455280001</v>
      </c>
      <c r="L87" s="62"/>
      <c r="M87" s="68">
        <f t="shared" si="13"/>
        <v>2559.1500910560003</v>
      </c>
      <c r="N87" s="62"/>
      <c r="O87" s="72">
        <f t="shared" si="14"/>
        <v>2559.1500910560003</v>
      </c>
      <c r="P87" s="62"/>
      <c r="Q87" s="68">
        <f t="shared" si="15"/>
        <v>5117.168816024001</v>
      </c>
    </row>
    <row r="88" spans="3:17" s="19" customFormat="1" ht="15" hidden="1" x14ac:dyDescent="0.2">
      <c r="I88" s="67" t="s">
        <v>78</v>
      </c>
      <c r="J88" s="69"/>
      <c r="K88" s="72">
        <f t="shared" si="12"/>
        <v>1333.3171974401762</v>
      </c>
      <c r="L88" s="62"/>
      <c r="M88" s="68">
        <f t="shared" si="13"/>
        <v>2666.6343948803524</v>
      </c>
      <c r="N88" s="62"/>
      <c r="O88" s="72">
        <f t="shared" si="14"/>
        <v>2666.6343948803524</v>
      </c>
      <c r="P88" s="62"/>
      <c r="Q88" s="68">
        <f t="shared" si="15"/>
        <v>5332.0899062970093</v>
      </c>
    </row>
    <row r="89" spans="3:17" s="19" customFormat="1" ht="15" hidden="1" x14ac:dyDescent="0.2">
      <c r="I89" s="67" t="s">
        <v>79</v>
      </c>
      <c r="J89" s="69"/>
      <c r="K89" s="72">
        <f t="shared" si="12"/>
        <v>1389.3165197326637</v>
      </c>
      <c r="L89" s="62"/>
      <c r="M89" s="68">
        <f t="shared" si="13"/>
        <v>2778.6330394653273</v>
      </c>
      <c r="N89" s="62"/>
      <c r="O89" s="72">
        <f t="shared" si="14"/>
        <v>2778.6330394653273</v>
      </c>
      <c r="P89" s="62"/>
      <c r="Q89" s="68">
        <f t="shared" si="15"/>
        <v>5556.0376823614843</v>
      </c>
    </row>
    <row r="90" spans="3:17" s="19" customFormat="1" ht="15" hidden="1" x14ac:dyDescent="0.2">
      <c r="I90" s="67" t="s">
        <v>145</v>
      </c>
      <c r="J90" s="69"/>
      <c r="K90" s="72">
        <f t="shared" si="12"/>
        <v>1447.6678135614357</v>
      </c>
      <c r="L90" s="62"/>
      <c r="M90" s="68">
        <f t="shared" si="13"/>
        <v>2895.3356271228713</v>
      </c>
      <c r="N90" s="62"/>
      <c r="O90" s="72">
        <f t="shared" si="14"/>
        <v>2895.3356271228713</v>
      </c>
      <c r="P90" s="62"/>
      <c r="Q90" s="68">
        <f t="shared" si="15"/>
        <v>5789.3912650206667</v>
      </c>
    </row>
    <row r="91" spans="3:17" s="19" customFormat="1" ht="15" hidden="1" x14ac:dyDescent="0.2">
      <c r="I91" s="67"/>
      <c r="J91" s="69"/>
      <c r="K91" s="72">
        <v>0</v>
      </c>
      <c r="L91" s="69"/>
      <c r="M91" s="63"/>
      <c r="N91" s="62"/>
      <c r="O91" s="72">
        <v>0</v>
      </c>
      <c r="P91" s="62"/>
      <c r="Q91" s="63"/>
    </row>
    <row r="92" spans="3:17" s="19" customFormat="1" ht="15" hidden="1" x14ac:dyDescent="0.2">
      <c r="I92" s="67" t="s">
        <v>63</v>
      </c>
      <c r="J92" s="69"/>
      <c r="K92" s="72">
        <v>1077</v>
      </c>
      <c r="L92" s="62"/>
      <c r="M92" s="68">
        <v>2154</v>
      </c>
      <c r="N92" s="62"/>
      <c r="O92" s="72">
        <v>2154</v>
      </c>
      <c r="P92" s="62"/>
      <c r="Q92" s="68">
        <v>4308</v>
      </c>
    </row>
    <row r="93" spans="3:17" s="19" customFormat="1" ht="15" hidden="1" x14ac:dyDescent="0.2">
      <c r="I93" s="67" t="s">
        <v>64</v>
      </c>
      <c r="J93" s="69"/>
      <c r="K93" s="72">
        <v>1118</v>
      </c>
      <c r="L93" s="62"/>
      <c r="M93" s="68">
        <v>2235</v>
      </c>
      <c r="N93" s="62"/>
      <c r="O93" s="72">
        <v>2235</v>
      </c>
      <c r="P93" s="62"/>
      <c r="Q93" s="68">
        <v>4470</v>
      </c>
    </row>
    <row r="94" spans="3:17" s="19" customFormat="1" ht="15" hidden="1" x14ac:dyDescent="0.2">
      <c r="I94" s="67" t="s">
        <v>65</v>
      </c>
      <c r="J94" s="69"/>
      <c r="K94" s="72">
        <v>1131</v>
      </c>
      <c r="L94" s="64"/>
      <c r="M94" s="68">
        <v>2262</v>
      </c>
      <c r="N94" s="64"/>
      <c r="O94" s="72">
        <v>2262</v>
      </c>
      <c r="P94" s="64"/>
      <c r="Q94" s="68">
        <v>4523</v>
      </c>
    </row>
    <row r="95" spans="3:17" s="19" customFormat="1" ht="15" hidden="1" x14ac:dyDescent="0.2">
      <c r="I95" s="67" t="s">
        <v>66</v>
      </c>
      <c r="J95" s="69"/>
      <c r="K95" s="72">
        <f>K94*$S$50</f>
        <v>1178.502</v>
      </c>
      <c r="L95" s="64"/>
      <c r="M95" s="68">
        <f>M94*$S$50</f>
        <v>2357.0039999999999</v>
      </c>
      <c r="N95" s="64"/>
      <c r="O95" s="72">
        <f t="shared" ref="O95:O99" si="16">O94*$S$50</f>
        <v>2357.0039999999999</v>
      </c>
      <c r="P95" s="64"/>
      <c r="Q95" s="68">
        <f>Q94*$S$50</f>
        <v>4712.9660000000003</v>
      </c>
    </row>
    <row r="96" spans="3:17" s="19" customFormat="1" ht="15" hidden="1" x14ac:dyDescent="0.2">
      <c r="I96" s="67" t="s">
        <v>80</v>
      </c>
      <c r="J96" s="69"/>
      <c r="K96" s="72">
        <f t="shared" ref="K96:K99" si="17">K95*$S$50</f>
        <v>1227.999084</v>
      </c>
      <c r="L96" s="64"/>
      <c r="M96" s="68">
        <f t="shared" ref="M96:M99" si="18">M95*$S$50</f>
        <v>2455.9981680000001</v>
      </c>
      <c r="N96" s="64"/>
      <c r="O96" s="72">
        <f t="shared" si="16"/>
        <v>2455.9981680000001</v>
      </c>
      <c r="P96" s="64"/>
      <c r="Q96" s="68">
        <f t="shared" ref="Q96:Q99" si="19">Q95*$S$50</f>
        <v>4910.9105720000007</v>
      </c>
    </row>
    <row r="97" spans="3:17" s="19" customFormat="1" ht="15" hidden="1" x14ac:dyDescent="0.2">
      <c r="I97" s="67" t="s">
        <v>81</v>
      </c>
      <c r="J97" s="69"/>
      <c r="K97" s="72">
        <f t="shared" si="17"/>
        <v>1279.5750455280001</v>
      </c>
      <c r="L97" s="64"/>
      <c r="M97" s="68">
        <f t="shared" si="18"/>
        <v>2559.1500910560003</v>
      </c>
      <c r="N97" s="64"/>
      <c r="O97" s="72">
        <f t="shared" si="16"/>
        <v>2559.1500910560003</v>
      </c>
      <c r="P97" s="64"/>
      <c r="Q97" s="68">
        <f t="shared" si="19"/>
        <v>5117.168816024001</v>
      </c>
    </row>
    <row r="98" spans="3:17" s="19" customFormat="1" ht="15" hidden="1" x14ac:dyDescent="0.2">
      <c r="I98" s="67" t="s">
        <v>82</v>
      </c>
      <c r="J98" s="69"/>
      <c r="K98" s="72">
        <f t="shared" si="17"/>
        <v>1333.3171974401762</v>
      </c>
      <c r="L98" s="64"/>
      <c r="M98" s="68">
        <f t="shared" si="18"/>
        <v>2666.6343948803524</v>
      </c>
      <c r="N98" s="64"/>
      <c r="O98" s="72">
        <f t="shared" si="16"/>
        <v>2666.6343948803524</v>
      </c>
      <c r="P98" s="64"/>
      <c r="Q98" s="68">
        <f t="shared" si="19"/>
        <v>5332.0899062970093</v>
      </c>
    </row>
    <row r="99" spans="3:17" s="19" customFormat="1" ht="15" hidden="1" x14ac:dyDescent="0.2">
      <c r="I99" s="67" t="s">
        <v>146</v>
      </c>
      <c r="J99" s="69"/>
      <c r="K99" s="72">
        <f t="shared" si="17"/>
        <v>1389.3165197326637</v>
      </c>
      <c r="L99" s="64"/>
      <c r="M99" s="68">
        <f t="shared" si="18"/>
        <v>2778.6330394653273</v>
      </c>
      <c r="N99" s="64"/>
      <c r="O99" s="72">
        <f t="shared" si="16"/>
        <v>2778.6330394653273</v>
      </c>
      <c r="P99" s="64"/>
      <c r="Q99" s="68">
        <f t="shared" si="19"/>
        <v>5556.0376823614843</v>
      </c>
    </row>
    <row r="100" spans="3:17" s="19" customFormat="1" ht="15" hidden="1" x14ac:dyDescent="0.2">
      <c r="I100" s="67"/>
      <c r="J100" s="69"/>
      <c r="K100" s="72">
        <v>0</v>
      </c>
      <c r="L100" s="69"/>
      <c r="M100" s="63"/>
      <c r="N100" s="62"/>
      <c r="O100" s="72">
        <v>0</v>
      </c>
      <c r="P100" s="62"/>
      <c r="Q100" s="63"/>
    </row>
    <row r="101" spans="3:17" s="19" customFormat="1" ht="15" hidden="1" x14ac:dyDescent="0.2">
      <c r="I101" s="67" t="s">
        <v>54</v>
      </c>
      <c r="J101" s="69"/>
      <c r="K101" s="72">
        <v>621</v>
      </c>
      <c r="L101" s="62"/>
      <c r="M101" s="68">
        <v>1243</v>
      </c>
      <c r="N101" s="62"/>
      <c r="O101" s="72">
        <v>1243</v>
      </c>
      <c r="P101" s="71"/>
      <c r="Q101" s="68">
        <v>2485</v>
      </c>
    </row>
    <row r="102" spans="3:17" s="19" customFormat="1" ht="15" hidden="1" x14ac:dyDescent="0.2">
      <c r="I102" s="67" t="s">
        <v>55</v>
      </c>
      <c r="J102" s="69"/>
      <c r="K102" s="72">
        <v>629</v>
      </c>
      <c r="L102" s="62"/>
      <c r="M102" s="68">
        <v>1258</v>
      </c>
      <c r="N102" s="62"/>
      <c r="O102" s="72">
        <v>1258</v>
      </c>
      <c r="P102" s="71"/>
      <c r="Q102" s="68">
        <v>2515</v>
      </c>
    </row>
    <row r="103" spans="3:17" s="19" customFormat="1" ht="12.75" hidden="1" customHeight="1" x14ac:dyDescent="0.2">
      <c r="I103" s="67" t="s">
        <v>56</v>
      </c>
      <c r="J103" s="69"/>
      <c r="K103" s="72">
        <f>K102*$S$50</f>
        <v>655.41800000000001</v>
      </c>
      <c r="L103" s="62"/>
      <c r="M103" s="68">
        <f>M102*$S$50</f>
        <v>1310.836</v>
      </c>
      <c r="N103" s="62"/>
      <c r="O103" s="72">
        <f>O102*$S$50</f>
        <v>1310.836</v>
      </c>
      <c r="P103" s="71"/>
      <c r="Q103" s="68">
        <f>Q102*$S$50</f>
        <v>2620.63</v>
      </c>
    </row>
    <row r="104" spans="3:17" s="19" customFormat="1" ht="12.75" hidden="1" customHeight="1" x14ac:dyDescent="0.2">
      <c r="I104" s="67" t="s">
        <v>57</v>
      </c>
      <c r="J104" s="69"/>
      <c r="K104" s="72">
        <f t="shared" ref="K104:K108" si="20">K103*$S$50</f>
        <v>682.94555600000001</v>
      </c>
      <c r="L104" s="62"/>
      <c r="M104" s="68">
        <f t="shared" ref="M104:M108" si="21">M103*$S$50</f>
        <v>1365.891112</v>
      </c>
      <c r="N104" s="62"/>
      <c r="O104" s="72">
        <f t="shared" ref="O104:O108" si="22">O103*$S$50</f>
        <v>1365.891112</v>
      </c>
      <c r="P104" s="71"/>
      <c r="Q104" s="68">
        <f t="shared" ref="Q104:Q108" si="23">Q103*$S$50</f>
        <v>2730.6964600000001</v>
      </c>
    </row>
    <row r="105" spans="3:17" s="19" customFormat="1" ht="12.75" hidden="1" customHeight="1" x14ac:dyDescent="0.2">
      <c r="I105" s="67" t="s">
        <v>83</v>
      </c>
      <c r="J105" s="69"/>
      <c r="K105" s="72">
        <f t="shared" si="20"/>
        <v>711.62926935200005</v>
      </c>
      <c r="L105" s="62"/>
      <c r="M105" s="68">
        <f t="shared" si="21"/>
        <v>1423.2585387040001</v>
      </c>
      <c r="N105" s="62"/>
      <c r="O105" s="72">
        <f t="shared" si="22"/>
        <v>1423.2585387040001</v>
      </c>
      <c r="P105" s="71"/>
      <c r="Q105" s="68">
        <f t="shared" si="23"/>
        <v>2845.3857113200002</v>
      </c>
    </row>
    <row r="106" spans="3:17" s="19" customFormat="1" ht="12.75" hidden="1" customHeight="1" x14ac:dyDescent="0.2">
      <c r="I106" s="67" t="s">
        <v>84</v>
      </c>
      <c r="J106" s="69"/>
      <c r="K106" s="72">
        <f t="shared" si="20"/>
        <v>741.51769866478412</v>
      </c>
      <c r="L106" s="62"/>
      <c r="M106" s="68">
        <f t="shared" si="21"/>
        <v>1483.0353973295682</v>
      </c>
      <c r="N106" s="62"/>
      <c r="O106" s="72">
        <f t="shared" si="22"/>
        <v>1483.0353973295682</v>
      </c>
      <c r="P106" s="71"/>
      <c r="Q106" s="68">
        <f t="shared" si="23"/>
        <v>2964.8919111954401</v>
      </c>
    </row>
    <row r="107" spans="3:17" s="19" customFormat="1" ht="12.75" hidden="1" customHeight="1" x14ac:dyDescent="0.2">
      <c r="I107" s="67" t="s">
        <v>85</v>
      </c>
      <c r="J107" s="69"/>
      <c r="K107" s="72">
        <f t="shared" si="20"/>
        <v>772.66144200870508</v>
      </c>
      <c r="L107" s="62"/>
      <c r="M107" s="68">
        <f t="shared" si="21"/>
        <v>1545.3228840174102</v>
      </c>
      <c r="N107" s="62"/>
      <c r="O107" s="72">
        <f t="shared" si="22"/>
        <v>1545.3228840174102</v>
      </c>
      <c r="P107" s="71"/>
      <c r="Q107" s="68">
        <f t="shared" si="23"/>
        <v>3089.4173714656486</v>
      </c>
    </row>
    <row r="108" spans="3:17" s="19" customFormat="1" ht="12.75" hidden="1" customHeight="1" x14ac:dyDescent="0.2">
      <c r="I108" s="67" t="s">
        <v>147</v>
      </c>
      <c r="J108" s="69"/>
      <c r="K108" s="72">
        <f t="shared" si="20"/>
        <v>805.11322257307074</v>
      </c>
      <c r="L108" s="62"/>
      <c r="M108" s="68">
        <f t="shared" si="21"/>
        <v>1610.2264451461415</v>
      </c>
      <c r="N108" s="62"/>
      <c r="O108" s="72">
        <f t="shared" si="22"/>
        <v>1610.2264451461415</v>
      </c>
      <c r="P108" s="71"/>
      <c r="Q108" s="68">
        <f t="shared" si="23"/>
        <v>3219.1729010672061</v>
      </c>
    </row>
    <row r="109" spans="3:17" s="19" customFormat="1" ht="12.75" hidden="1" customHeight="1" x14ac:dyDescent="0.2">
      <c r="C109" s="22"/>
      <c r="D109" s="22"/>
      <c r="E109" s="22"/>
      <c r="F109" s="22"/>
      <c r="G109" s="22"/>
      <c r="H109" s="22"/>
      <c r="I109" s="65"/>
      <c r="J109" s="65"/>
      <c r="K109" s="66"/>
      <c r="L109" s="65"/>
      <c r="M109" s="66"/>
      <c r="N109" s="65"/>
      <c r="O109" s="66"/>
      <c r="P109" s="65"/>
      <c r="Q109" s="66"/>
    </row>
    <row r="110" spans="3:17" s="19" customFormat="1" x14ac:dyDescent="0.2"/>
    <row r="111" spans="3:17" s="19" customFormat="1" x14ac:dyDescent="0.2"/>
    <row r="112" spans="3:17" s="19" customFormat="1" x14ac:dyDescent="0.2"/>
    <row r="113" s="19" customFormat="1" x14ac:dyDescent="0.2"/>
    <row r="114" s="19" customFormat="1" x14ac:dyDescent="0.2"/>
    <row r="115" s="19" customFormat="1" x14ac:dyDescent="0.2"/>
    <row r="116" s="19" customFormat="1" x14ac:dyDescent="0.2"/>
    <row r="117" s="19" customFormat="1" x14ac:dyDescent="0.2"/>
    <row r="118" s="19" customFormat="1" x14ac:dyDescent="0.2"/>
    <row r="119" s="19" customFormat="1" x14ac:dyDescent="0.2"/>
    <row r="120" s="19" customFormat="1" x14ac:dyDescent="0.2"/>
    <row r="121" s="19" customFormat="1" x14ac:dyDescent="0.2"/>
    <row r="122" s="19" customFormat="1" x14ac:dyDescent="0.2"/>
    <row r="123" s="19" customFormat="1" x14ac:dyDescent="0.2"/>
    <row r="124" s="19" customFormat="1" x14ac:dyDescent="0.2"/>
    <row r="125" s="19" customFormat="1" x14ac:dyDescent="0.2"/>
    <row r="126" s="19" customFormat="1" x14ac:dyDescent="0.2"/>
    <row r="127" s="19" customFormat="1" x14ac:dyDescent="0.2"/>
    <row r="128" s="19" customFormat="1" x14ac:dyDescent="0.2"/>
    <row r="129" s="19" customFormat="1" x14ac:dyDescent="0.2"/>
    <row r="130" s="19" customFormat="1" x14ac:dyDescent="0.2"/>
    <row r="131" s="19" customFormat="1" x14ac:dyDescent="0.2"/>
    <row r="132" s="19" customFormat="1" x14ac:dyDescent="0.2"/>
    <row r="133" s="19" customFormat="1" x14ac:dyDescent="0.2"/>
    <row r="134" s="19" customFormat="1" x14ac:dyDescent="0.2"/>
    <row r="135" s="19" customFormat="1" x14ac:dyDescent="0.2"/>
    <row r="136" s="19" customFormat="1" x14ac:dyDescent="0.2"/>
    <row r="137" s="19" customFormat="1" x14ac:dyDescent="0.2"/>
    <row r="138" s="19" customFormat="1" x14ac:dyDescent="0.2"/>
  </sheetData>
  <sheetProtection algorithmName="SHA-512" hashValue="9YVCp6XnWbEtq6rO22O8CZLXU+Qheo8bnlHd8njw7dp9FYUEDID44cS1dcENcbgU4A/drMMP+tZDmRlg1J4crw==" saltValue="1gqU5YkoUJDqnM4qje0Xqw==" spinCount="100000" sheet="1" objects="1" scenarios="1" selectLockedCells="1"/>
  <mergeCells count="27">
    <mergeCell ref="C6:F6"/>
    <mergeCell ref="C7:F7"/>
    <mergeCell ref="C8:F8"/>
    <mergeCell ref="C3:I3"/>
    <mergeCell ref="C11:H11"/>
    <mergeCell ref="A33:A37"/>
    <mergeCell ref="C33:D33"/>
    <mergeCell ref="C35:D35"/>
    <mergeCell ref="C37:D37"/>
    <mergeCell ref="A13:A17"/>
    <mergeCell ref="C13:D13"/>
    <mergeCell ref="C15:D15"/>
    <mergeCell ref="C17:D17"/>
    <mergeCell ref="A19:A23"/>
    <mergeCell ref="C19:D19"/>
    <mergeCell ref="C21:D21"/>
    <mergeCell ref="C23:D23"/>
    <mergeCell ref="C26:F26"/>
    <mergeCell ref="C27:F27"/>
    <mergeCell ref="C28:F28"/>
    <mergeCell ref="C31:H31"/>
    <mergeCell ref="I80:Q80"/>
    <mergeCell ref="C47:I47"/>
    <mergeCell ref="A39:A43"/>
    <mergeCell ref="C39:D39"/>
    <mergeCell ref="C41:D41"/>
    <mergeCell ref="C43:D43"/>
  </mergeCells>
  <dataValidations count="14">
    <dataValidation type="list" allowBlank="1" showInputMessage="1" showErrorMessage="1" sqref="K17 S23 Q23 O23 M23 K23 S17 Q17 O17 M17">
      <formula1>$I$62:$I$69</formula1>
    </dataValidation>
    <dataValidation type="list" allowBlank="1" showInputMessage="1" showErrorMessage="1" sqref="K15 M15 O15 Q15 S15 K21 M21 O21 Q21 S21">
      <formula1>$I$53:$I$60</formula1>
    </dataValidation>
    <dataValidation type="list" allowBlank="1" showInputMessage="1" showErrorMessage="1" sqref="S19 Q19 O19 M19 K19">
      <formula1>$I$70:$I$78</formula1>
    </dataValidation>
    <dataValidation type="list" allowBlank="1" showInputMessage="1" showErrorMessage="1" sqref="I6 I26">
      <formula1>$S$51:$S$52</formula1>
    </dataValidation>
    <dataValidation type="list" allowBlank="1" showInputMessage="1" showErrorMessage="1" sqref="S43">
      <formula1>$I$92:$I$99</formula1>
    </dataValidation>
    <dataValidation type="list" allowBlank="1" showInputMessage="1" showErrorMessage="1" sqref="K35 K41">
      <formula1>$I$83:$I$91</formula1>
    </dataValidation>
    <dataValidation type="list" allowBlank="1" showInputMessage="1" showErrorMessage="1" sqref="S39">
      <formula1>$I$101:$I$108</formula1>
    </dataValidation>
    <dataValidation type="list" allowBlank="1" showInputMessage="1" showErrorMessage="1" sqref="K30 S30 Q10:Q11 M10:M11 M30 Q30 O30 K10:K11 S10:S11 O10:O11">
      <formula1>$I$62:$I$67</formula1>
    </dataValidation>
    <dataValidation type="list" allowBlank="1" showInputMessage="1" showErrorMessage="1" sqref="K13 M13 O13 Q13 S13">
      <formula1>$I$71:$I$78</formula1>
    </dataValidation>
    <dataValidation type="list" allowBlank="1" showInputMessage="1" showErrorMessage="1" sqref="K33 M33 O33 Q33 S33 K39 M39 O39 Q39">
      <formula1>$I$101:$I$108</formula1>
    </dataValidation>
    <dataValidation type="list" allowBlank="1" showInputMessage="1" showErrorMessage="1" sqref="K37 M37 O37 Q37 S37 K43 M43 O43 Q43">
      <formula1>$I$92:$I$99</formula1>
    </dataValidation>
    <dataValidation type="list" allowBlank="1" showInputMessage="1" showErrorMessage="1" sqref="M35 O35 O41 Q35 S35 S41">
      <formula1>$I$83:$I$90</formula1>
    </dataValidation>
    <dataValidation type="list" allowBlank="1" showInputMessage="1" showErrorMessage="1" sqref="M41">
      <formula1>$I$83:$I$90</formula1>
    </dataValidation>
    <dataValidation type="list" allowBlank="1" showInputMessage="1" showErrorMessage="1" sqref="Q41">
      <formula1>$I$83:$I$90</formula1>
    </dataValidation>
  </dataValidations>
  <pageMargins left="0.25" right="0.25" top="1" bottom="1" header="0.5" footer="0.5"/>
  <pageSetup scale="77" orientation="landscape" horizontalDpi="1200" verticalDpi="1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7"/>
  <sheetViews>
    <sheetView workbookViewId="0">
      <selection activeCell="E25" sqref="E25"/>
    </sheetView>
  </sheetViews>
  <sheetFormatPr defaultRowHeight="12.75" x14ac:dyDescent="0.2"/>
  <cols>
    <col min="1" max="1" width="22" style="98" bestFit="1" customWidth="1"/>
    <col min="2" max="2" width="19.42578125" style="98" bestFit="1" customWidth="1"/>
    <col min="3" max="3" width="17.140625" style="98" customWidth="1"/>
    <col min="4" max="16384" width="9.140625" style="98"/>
  </cols>
  <sheetData>
    <row r="1" spans="1:3" ht="15" x14ac:dyDescent="0.25">
      <c r="A1" s="128" t="s">
        <v>103</v>
      </c>
      <c r="B1" s="129">
        <f>Summary!D3</f>
        <v>0</v>
      </c>
      <c r="C1" s="129"/>
    </row>
    <row r="2" spans="1:3" ht="15" x14ac:dyDescent="0.25">
      <c r="A2" s="128" t="s">
        <v>104</v>
      </c>
      <c r="B2" s="129">
        <f>Summary!D4</f>
        <v>0</v>
      </c>
      <c r="C2" s="129"/>
    </row>
    <row r="3" spans="1:3" ht="15" x14ac:dyDescent="0.25">
      <c r="A3" s="128" t="s">
        <v>105</v>
      </c>
      <c r="B3" s="129">
        <f>Summary!D5</f>
        <v>0</v>
      </c>
      <c r="C3" s="129"/>
    </row>
    <row r="4" spans="1:3" ht="15" x14ac:dyDescent="0.25">
      <c r="A4" s="128" t="s">
        <v>106</v>
      </c>
      <c r="B4" s="130">
        <f>Summary!D6</f>
        <v>0</v>
      </c>
      <c r="C4" s="130"/>
    </row>
    <row r="5" spans="1:3" ht="15" x14ac:dyDescent="0.25">
      <c r="A5" s="131" t="s">
        <v>107</v>
      </c>
      <c r="B5" s="142"/>
      <c r="C5" s="129"/>
    </row>
    <row r="7" spans="1:3" ht="15" x14ac:dyDescent="0.25">
      <c r="A7" s="132" t="s">
        <v>108</v>
      </c>
      <c r="B7" s="133" t="s">
        <v>109</v>
      </c>
      <c r="C7" s="132" t="s">
        <v>110</v>
      </c>
    </row>
    <row r="8" spans="1:3" ht="15" x14ac:dyDescent="0.25">
      <c r="A8" s="134" t="s">
        <v>111</v>
      </c>
      <c r="B8" s="135" t="s">
        <v>112</v>
      </c>
      <c r="C8" s="136">
        <f>ROUND(Summary!R40,0)</f>
        <v>0</v>
      </c>
    </row>
    <row r="9" spans="1:3" ht="15" x14ac:dyDescent="0.25">
      <c r="A9" s="134" t="s">
        <v>113</v>
      </c>
      <c r="B9" s="135" t="s">
        <v>114</v>
      </c>
      <c r="C9" s="136">
        <f>ROUND(Summary!R42,0)</f>
        <v>0</v>
      </c>
    </row>
    <row r="10" spans="1:3" ht="15" x14ac:dyDescent="0.25">
      <c r="A10" s="134" t="s">
        <v>115</v>
      </c>
      <c r="B10" s="135" t="s">
        <v>116</v>
      </c>
      <c r="C10" s="136">
        <f>ROUND(Summary!R72,0)</f>
        <v>0</v>
      </c>
    </row>
    <row r="11" spans="1:3" ht="15" x14ac:dyDescent="0.25">
      <c r="A11" s="134" t="s">
        <v>117</v>
      </c>
      <c r="B11" s="135" t="s">
        <v>118</v>
      </c>
      <c r="C11" s="136">
        <f>ROUND(Summary!R76,0)</f>
        <v>0</v>
      </c>
    </row>
    <row r="12" spans="1:3" ht="15" x14ac:dyDescent="0.25">
      <c r="A12" s="134" t="s">
        <v>119</v>
      </c>
      <c r="B12" s="135" t="s">
        <v>120</v>
      </c>
      <c r="C12" s="136">
        <f>Summary!R77</f>
        <v>0</v>
      </c>
    </row>
    <row r="13" spans="1:3" ht="15" x14ac:dyDescent="0.25">
      <c r="A13" s="134" t="s">
        <v>121</v>
      </c>
      <c r="B13" s="135" t="s">
        <v>122</v>
      </c>
      <c r="C13" s="136">
        <f>ROUND(SUM(Summary!R96),0)</f>
        <v>0</v>
      </c>
    </row>
    <row r="14" spans="1:3" ht="15" x14ac:dyDescent="0.25">
      <c r="A14" s="134" t="s">
        <v>123</v>
      </c>
      <c r="B14" s="135" t="s">
        <v>124</v>
      </c>
      <c r="C14" s="136">
        <f>ROUND(Summary!R86,0)</f>
        <v>0</v>
      </c>
    </row>
    <row r="15" spans="1:3" ht="15" x14ac:dyDescent="0.25">
      <c r="A15" s="134" t="s">
        <v>125</v>
      </c>
      <c r="B15" s="137"/>
      <c r="C15" s="136"/>
    </row>
    <row r="16" spans="1:3" ht="15" x14ac:dyDescent="0.25">
      <c r="A16" s="138" t="s">
        <v>126</v>
      </c>
      <c r="B16" s="135" t="s">
        <v>127</v>
      </c>
      <c r="C16" s="136">
        <f>Summary!R92</f>
        <v>0</v>
      </c>
    </row>
    <row r="17" spans="1:5" ht="15" x14ac:dyDescent="0.25">
      <c r="A17" s="138" t="s">
        <v>128</v>
      </c>
      <c r="B17" s="135" t="s">
        <v>129</v>
      </c>
      <c r="C17" s="136">
        <f>ROUND(Summary!R93,0)</f>
        <v>0</v>
      </c>
    </row>
    <row r="18" spans="1:5" ht="15" x14ac:dyDescent="0.25">
      <c r="A18" s="134" t="s">
        <v>30</v>
      </c>
      <c r="B18" s="137"/>
      <c r="C18" s="136"/>
    </row>
    <row r="19" spans="1:5" ht="15" x14ac:dyDescent="0.25">
      <c r="A19" s="134" t="s">
        <v>130</v>
      </c>
      <c r="B19" s="135" t="s">
        <v>131</v>
      </c>
      <c r="C19" s="136">
        <f>Summary!R87</f>
        <v>0</v>
      </c>
    </row>
    <row r="20" spans="1:5" ht="15" x14ac:dyDescent="0.25">
      <c r="A20" s="134" t="s">
        <v>132</v>
      </c>
      <c r="B20" s="135" t="s">
        <v>133</v>
      </c>
      <c r="C20" s="136">
        <f>ROUND(Summary!R89,0)</f>
        <v>0</v>
      </c>
      <c r="E20" s="98">
        <v>5</v>
      </c>
    </row>
    <row r="21" spans="1:5" ht="15" x14ac:dyDescent="0.25">
      <c r="A21" s="134" t="s">
        <v>134</v>
      </c>
      <c r="B21" s="135" t="s">
        <v>135</v>
      </c>
      <c r="C21" s="136">
        <f>ROUND(Summary!R88,0)</f>
        <v>0</v>
      </c>
      <c r="E21" s="98">
        <v>6</v>
      </c>
    </row>
    <row r="22" spans="1:5" ht="15" x14ac:dyDescent="0.25">
      <c r="A22" s="134" t="s">
        <v>136</v>
      </c>
      <c r="B22" s="135" t="s">
        <v>137</v>
      </c>
      <c r="C22" s="136">
        <f>ROUND(Summary!R98,0)</f>
        <v>0</v>
      </c>
      <c r="E22" s="98">
        <v>8</v>
      </c>
    </row>
    <row r="23" spans="1:5" ht="15" x14ac:dyDescent="0.25">
      <c r="A23" s="134" t="s">
        <v>138</v>
      </c>
      <c r="B23" s="135" t="s">
        <v>139</v>
      </c>
      <c r="C23" s="136">
        <v>0</v>
      </c>
    </row>
    <row r="24" spans="1:5" ht="15" x14ac:dyDescent="0.25">
      <c r="A24" s="134" t="s">
        <v>140</v>
      </c>
      <c r="B24" s="135" t="s">
        <v>141</v>
      </c>
      <c r="C24" s="136">
        <f>Summary!R102+Summary!R90+Summary!R91</f>
        <v>0</v>
      </c>
    </row>
    <row r="25" spans="1:5" ht="15" x14ac:dyDescent="0.25">
      <c r="A25" s="134" t="s">
        <v>142</v>
      </c>
      <c r="B25" s="137"/>
      <c r="C25" s="139">
        <f>SUM(C8:C24)</f>
        <v>0</v>
      </c>
    </row>
    <row r="26" spans="1:5" ht="15" x14ac:dyDescent="0.25">
      <c r="A26" s="134" t="s">
        <v>34</v>
      </c>
      <c r="B26" s="135" t="s">
        <v>143</v>
      </c>
      <c r="C26" s="140">
        <f>ROUND(Summary!R113,0)</f>
        <v>0</v>
      </c>
    </row>
    <row r="27" spans="1:5" ht="15.75" thickBot="1" x14ac:dyDescent="0.3">
      <c r="A27" s="134" t="s">
        <v>144</v>
      </c>
      <c r="B27" s="137"/>
      <c r="C27" s="141">
        <f>SUM(C25:C26)</f>
        <v>0</v>
      </c>
    </row>
  </sheetData>
  <sheetProtection algorithmName="SHA-512" hashValue="pT5M/f+d+VaukmLhruXPj8kPeihJqxeBRuwQEd3ygsmaBkoXy9NcidmdbfTI9tiLlDNCivS34L+PMLSo0ko38g==" saltValue="9vjlekfYbcA9lBx3z70FPw==" spinCount="100000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Staff Rates</vt:lpstr>
      <vt:lpstr>Summary</vt:lpstr>
      <vt:lpstr>Tuition</vt:lpstr>
      <vt:lpstr>BA Upload</vt:lpstr>
      <vt:lpstr>Tuition!Print_Area</vt:lpstr>
    </vt:vector>
  </TitlesOfParts>
  <Company>Iowa State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 Alvarez</dc:creator>
  <cp:lastModifiedBy>Thomas, Judy [ITRNS]</cp:lastModifiedBy>
  <cp:lastPrinted>2012-04-13T20:07:10Z</cp:lastPrinted>
  <dcterms:created xsi:type="dcterms:W3CDTF">2008-11-17T19:38:33Z</dcterms:created>
  <dcterms:modified xsi:type="dcterms:W3CDTF">2014-09-24T18:43:50Z</dcterms:modified>
</cp:coreProperties>
</file>